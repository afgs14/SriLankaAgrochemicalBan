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c529741e3cb0b06/Documents/BIOLOGY OXFORD/FOURTH YEAR/1. Project/2. Project/Data/Project data/"/>
    </mc:Choice>
  </mc:AlternateContent>
  <xr:revisionPtr revIDLastSave="2" documentId="8_{CDA0C473-B17B-4AFD-846E-29929FCD1D4B}" xr6:coauthVersionLast="47" xr6:coauthVersionMax="47" xr10:uidLastSave="{D955DF1E-5E1F-4AD3-B51F-12534B796538}"/>
  <bookViews>
    <workbookView xWindow="2160" yWindow="2160" windowWidth="18720" windowHeight="11650" activeTab="1" xr2:uid="{45A79AF2-86E6-40E0-A39E-F569839EF353}"/>
  </bookViews>
  <sheets>
    <sheet name="Data" sheetId="1" r:id="rId1"/>
    <sheet name="Model" sheetId="2" r:id="rId2"/>
  </sheets>
  <definedNames>
    <definedName name="Bottom" localSheetId="1">Model!$B$5</definedName>
    <definedName name="Centre" localSheetId="1">Model!$B$7</definedName>
    <definedName name="Consumption_Ratio" localSheetId="1">Model!$C$24</definedName>
    <definedName name="Price_Post_Ban" localSheetId="1">Model!$C$23</definedName>
    <definedName name="Price_Pre_Ban" localSheetId="1">Model!$C$22</definedName>
    <definedName name="SetThisToZero">Model!$C$26</definedName>
    <definedName name="solver_adj" localSheetId="1" hidden="1">Model!#REF!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Model!#REF!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Steppiness" localSheetId="1">Model!$B$6</definedName>
    <definedName name="Target_Consumption_Ratio" localSheetId="1">Model!$C$25</definedName>
    <definedName name="Top" localSheetId="1">Model!$B$4</definedName>
    <definedName name="Total_Consumption_Post_Ban" localSheetId="1">Model!$D$20</definedName>
    <definedName name="Total_Consumption_Pre_Ban" localSheetId="1">Model!$B$20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" l="1" a="1"/>
  <c r="C10" i="2" s="1"/>
  <c r="D10" i="2" s="1" a="1"/>
  <c r="D10" i="2" s="1"/>
  <c r="D20" i="2" s="1"/>
  <c r="Y3" i="2" a="1"/>
  <c r="Y3" i="2" s="1"/>
  <c r="Z3" i="2" s="1" a="1"/>
  <c r="Z3" i="2" s="1"/>
  <c r="A10" i="2" a="1"/>
  <c r="A10" i="2" s="1"/>
  <c r="B20" i="2" l="1"/>
  <c r="C24" i="2" s="1"/>
  <c r="C26" i="2" s="1"/>
  <c r="B1" i="1" l="1" a="1"/>
  <c r="B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<sst xmlns="http://schemas.openxmlformats.org/spreadsheetml/2006/main" count="77" uniqueCount="76">
  <si>
    <t>Decile_group</t>
  </si>
  <si>
    <t>Median_household_expenditure</t>
  </si>
  <si>
    <t>Mean_household_expenditure</t>
  </si>
  <si>
    <t>Mean_food_expenditure</t>
  </si>
  <si>
    <t>Mean_non_food_expenditure</t>
  </si>
  <si>
    <t>Mean_household_income</t>
  </si>
  <si>
    <t>Expenditure_decile_low</t>
  </si>
  <si>
    <t>Expenditure_decile_high</t>
  </si>
  <si>
    <t>Rice_kekulu_white_Rs</t>
  </si>
  <si>
    <t>Rice_kekulu_samba_white_Rs</t>
  </si>
  <si>
    <t>Rice_kekulu_red_Rs</t>
  </si>
  <si>
    <t>Tea_Rs</t>
  </si>
  <si>
    <t>Sugar_Rs</t>
  </si>
  <si>
    <t>Milk_powder_Rs</t>
  </si>
  <si>
    <t>Milk_Rs</t>
  </si>
  <si>
    <t>Bombay_onions_Rs</t>
  </si>
  <si>
    <t>Coconut_Rs</t>
  </si>
  <si>
    <t>Eggs_Rs</t>
  </si>
  <si>
    <t>Balaya_dry_Rs</t>
  </si>
  <si>
    <t>Sprats_Rs</t>
  </si>
  <si>
    <t>Kelavalla_Rs</t>
  </si>
  <si>
    <t>Balaya_Rs</t>
  </si>
  <si>
    <t>Beef_Rs</t>
  </si>
  <si>
    <t>Chicken_Rs</t>
  </si>
  <si>
    <t>Dhal_Rs</t>
  </si>
  <si>
    <t>Bread_Rs</t>
  </si>
  <si>
    <t>Wheat_flour_Rs</t>
  </si>
  <si>
    <t>Rice_other_Rs</t>
  </si>
  <si>
    <t>Rice_nadu_white_Rs</t>
  </si>
  <si>
    <t>Rice_nadu_red_Rs</t>
  </si>
  <si>
    <t>Rice_samba_Rs</t>
  </si>
  <si>
    <t>Rice_Kekulu_samba_red_Rs</t>
  </si>
  <si>
    <t>Rice_kekulu_white_kg</t>
  </si>
  <si>
    <t>Rice_kekulu_samba_white_kg</t>
  </si>
  <si>
    <t>Rice_kekulu_red_kg</t>
  </si>
  <si>
    <t>Rice_Kekulu_samba_red_kg</t>
  </si>
  <si>
    <t>Rice_samba_kg</t>
  </si>
  <si>
    <t>Rice_nadu_red_kg</t>
  </si>
  <si>
    <t>Rice_nadu_white_kg</t>
  </si>
  <si>
    <t>Rice_other_kg</t>
  </si>
  <si>
    <t>Wheat_flour_kg</t>
  </si>
  <si>
    <t>Bread_kg</t>
  </si>
  <si>
    <t>Dhal_kg</t>
  </si>
  <si>
    <t>Chicken_kg</t>
  </si>
  <si>
    <t>Beef_g</t>
  </si>
  <si>
    <t>Balaya_g</t>
  </si>
  <si>
    <t>Kelavalla_g</t>
  </si>
  <si>
    <t>Sprats_g</t>
  </si>
  <si>
    <t>Balaya_dry_g</t>
  </si>
  <si>
    <t>Eggs_no</t>
  </si>
  <si>
    <t>Coconut_no</t>
  </si>
  <si>
    <t>Bombay_onions_kg</t>
  </si>
  <si>
    <t>Milk_ml</t>
  </si>
  <si>
    <t>Milk_powder_kg</t>
  </si>
  <si>
    <t>Sugar_kg</t>
  </si>
  <si>
    <t>Tea_g</t>
  </si>
  <si>
    <t>Elasticity</t>
  </si>
  <si>
    <t>Steppiness</t>
  </si>
  <si>
    <t>Centre</t>
  </si>
  <si>
    <t>Bottom</t>
  </si>
  <si>
    <t>Top</t>
  </si>
  <si>
    <t>&lt;- Large = smooth, small = nearer to step function</t>
  </si>
  <si>
    <t>Decile</t>
  </si>
  <si>
    <t>Consumption Post Ban</t>
  </si>
  <si>
    <t>Consumption Pre Ban</t>
  </si>
  <si>
    <t>Sri Lanka rice consumption pre and post ban</t>
  </si>
  <si>
    <t>Parameters of S-shaped (logistic) function to relate Decile to Elasticity</t>
  </si>
  <si>
    <t>&lt;- lower limit for elasticity (approx value for decile 1)</t>
  </si>
  <si>
    <t>&lt;- Upper limit for elasticity (approx value for decile 10).</t>
  </si>
  <si>
    <t>&lt;- This decile has elasticity = (Top + Bottom)/2 i.e. is at the inflection point of the S-shaped curve</t>
  </si>
  <si>
    <t>Price Pre Ban</t>
  </si>
  <si>
    <t>Price Post Ban</t>
  </si>
  <si>
    <t>Consumption Ratio</t>
  </si>
  <si>
    <t>Target Consumption Ratio</t>
  </si>
  <si>
    <t>Totals</t>
  </si>
  <si>
    <t>&lt;- Solve changes Price Post Ban so that Consumption Ratio is equal to Target Consumption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</si>
</sst>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.0_-;\-* #,##0.0_-;_-* &quot;-&quot;??_-;_-@_-"/>
    <numFmt numFmtId="166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65" fontId="0" fillId="0" borderId="0" xfId="1" applyNumberFormat="1" applyFont="1"/>
    <xf numFmtId="166" fontId="0" fillId="0" borderId="0" xfId="1" applyNumberFormat="1" applyFont="1"/>
    <xf numFmtId="165" fontId="0" fillId="0" borderId="0" xfId="0" applyNumberFormat="1"/>
    <xf numFmtId="0" fontId="2" fillId="0" borderId="0" xfId="0" applyFont="1" applyProtection="1">
      <protection locked="0"/>
    </xf>
    <xf numFmtId="0" fontId="0" fillId="0" borderId="0" xfId="0" quotePrefix="1" applyAlignment="1">
      <alignment horizontal="left"/>
    </xf>
    <xf numFmtId="0" fontId="3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6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5" fillId="0" borderId="0" xfId="0" quotePrefix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Model!$B$9</c:f>
              <c:strCache>
                <c:ptCount val="1"/>
                <c:pt idx="0">
                  <c:v>Consumption Pre Ban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xVal>
            <c:numRef>
              <c:f>Model!$A$10:$A$19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Model!$B$10:$B$19</c:f>
              <c:numCache>
                <c:formatCode>General</c:formatCode>
                <c:ptCount val="10"/>
                <c:pt idx="0">
                  <c:v>16.3</c:v>
                </c:pt>
                <c:pt idx="1">
                  <c:v>26.3</c:v>
                </c:pt>
                <c:pt idx="2">
                  <c:v>30</c:v>
                </c:pt>
                <c:pt idx="3">
                  <c:v>33.5</c:v>
                </c:pt>
                <c:pt idx="4">
                  <c:v>33.700000000000003</c:v>
                </c:pt>
                <c:pt idx="5">
                  <c:v>35.299999999999997</c:v>
                </c:pt>
                <c:pt idx="6">
                  <c:v>35.6</c:v>
                </c:pt>
                <c:pt idx="7">
                  <c:v>35.5</c:v>
                </c:pt>
                <c:pt idx="8">
                  <c:v>36.1</c:v>
                </c:pt>
                <c:pt idx="9">
                  <c:v>32.299999999999997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2B-4D36-8592-FA52515AA6E0}"/>
            </c:ext>
          </c:extLst>
        </c:ser>
        <c:ser>
          <c:idx val="1"/>
          <c:order val="1"/>
          <c:tx>
            <c:strRef>
              <c:f>Model!$D$9</c:f>
              <c:strCache>
                <c:ptCount val="1"/>
                <c:pt idx="0">
                  <c:v>Consumption Post Ban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xVal>
            <c:numRef>
              <c:f>Model!$A$10:$A$19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Model!$D$10:$D$19</c:f>
              <c:numCache>
                <c:formatCode>General</c:formatCode>
                <c:ptCount val="10"/>
                <c:pt idx="0">
                  <c:v>6.9838943936170432</c:v>
                </c:pt>
                <c:pt idx="1">
                  <c:v>11.296610142600263</c:v>
                </c:pt>
                <c:pt idx="2">
                  <c:v>13.043134987499807</c:v>
                </c:pt>
                <c:pt idx="3">
                  <c:v>15.392811292167481</c:v>
                </c:pt>
                <c:pt idx="4">
                  <c:v>18.770144783654075</c:v>
                </c:pt>
                <c:pt idx="5">
                  <c:v>27.137649698941871</c:v>
                </c:pt>
                <c:pt idx="6">
                  <c:v>33.175089890637963</c:v>
                </c:pt>
                <c:pt idx="7">
                  <c:v>34.962531228519687</c:v>
                </c:pt>
                <c:pt idx="8">
                  <c:v>35.987365752191913</c:v>
                </c:pt>
                <c:pt idx="9">
                  <c:v>32.279567830045963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2B-4D36-8592-FA52515AA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060240"/>
        <c:axId val="131059280"/>
      </c:scatterChart>
      <c:scatterChart>
        <c:scatterStyle val="lineMarker"/>
        <c:varyColors val="0"/>
        <c:ser>
          <c:idx val="2"/>
          <c:order val="2"/>
          <c:tx>
            <c:strRef>
              <c:f>Model!$C$9</c:f>
              <c:strCache>
                <c:ptCount val="1"/>
                <c:pt idx="0">
                  <c:v>Elasticity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Model!$Y$3:$Y$103</c:f>
              <c:numCache>
                <c:formatCode>General</c:formatCode>
                <c:ptCount val="101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</c:numCache>
            </c:numRef>
          </c:xVal>
          <c:yVal>
            <c:numRef>
              <c:f>Model!$Z$3:$Z$103</c:f>
              <c:numCache>
                <c:formatCode>General</c:formatCode>
                <c:ptCount val="101"/>
                <c:pt idx="0">
                  <c:v>-0.99982314438120001</c:v>
                </c:pt>
                <c:pt idx="1">
                  <c:v>-0.99979246437725766</c:v>
                </c:pt>
                <c:pt idx="2">
                  <c:v>-0.99975646346026825</c:v>
                </c:pt>
                <c:pt idx="3">
                  <c:v>-0.99971421929915816</c:v>
                </c:pt>
                <c:pt idx="4">
                  <c:v>-0.99966464986953352</c:v>
                </c:pt>
                <c:pt idx="5">
                  <c:v>-0.99960648587367351</c:v>
                </c:pt>
                <c:pt idx="6">
                  <c:v>-0.99953823842347589</c:v>
                </c:pt>
                <c:pt idx="7">
                  <c:v>-0.99945816118262276</c:v>
                </c:pt>
                <c:pt idx="8">
                  <c:v>-0.99936420603160481</c:v>
                </c:pt>
                <c:pt idx="9">
                  <c:v>-0.99925397116616332</c:v>
                </c:pt>
                <c:pt idx="10">
                  <c:v>-0.99912464036357074</c:v>
                </c:pt>
                <c:pt idx="11">
                  <c:v>-0.9989729119492885</c:v>
                </c:pt>
                <c:pt idx="12">
                  <c:v>-0.99879491576622104</c:v>
                </c:pt>
                <c:pt idx="13">
                  <c:v>-0.99858611618753934</c:v>
                </c:pt>
                <c:pt idx="14">
                  <c:v>-0.99834119891982553</c:v>
                </c:pt>
                <c:pt idx="15">
                  <c:v>-0.99805393901491446</c:v>
                </c:pt>
                <c:pt idx="16">
                  <c:v>-0.99771704714649689</c:v>
                </c:pt>
                <c:pt idx="17">
                  <c:v>-0.99732199081378692</c:v>
                </c:pt>
                <c:pt idx="18">
                  <c:v>-0.99685878671517059</c:v>
                </c:pt>
                <c:pt idx="19">
                  <c:v>-0.996315760100564</c:v>
                </c:pt>
                <c:pt idx="20">
                  <c:v>-0.99567926648008809</c:v>
                </c:pt>
                <c:pt idx="21">
                  <c:v>-0.99493337066653376</c:v>
                </c:pt>
                <c:pt idx="22">
                  <c:v>-0.9940594778016596</c:v>
                </c:pt>
                <c:pt idx="23">
                  <c:v>-0.99303591082223797</c:v>
                </c:pt>
                <c:pt idx="24">
                  <c:v>-0.99183742884684012</c:v>
                </c:pt>
                <c:pt idx="25">
                  <c:v>-0.99043468132790835</c:v>
                </c:pt>
                <c:pt idx="26">
                  <c:v>-0.98879359367815711</c:v>
                </c:pt>
                <c:pt idx="27">
                  <c:v>-0.98687468166289716</c:v>
                </c:pt>
                <c:pt idx="28">
                  <c:v>-0.98463229443472444</c:v>
                </c:pt>
                <c:pt idx="29">
                  <c:v>-0.98201379003790845</c:v>
                </c:pt>
                <c:pt idx="30">
                  <c:v>-0.97895865297953177</c:v>
                </c:pt>
                <c:pt idx="31">
                  <c:v>-0.97539757159726059</c:v>
                </c:pt>
                <c:pt idx="32">
                  <c:v>-0.97125150407346006</c:v>
                </c:pt>
                <c:pt idx="33">
                  <c:v>-0.96643077671851751</c:v>
                </c:pt>
                <c:pt idx="34">
                  <c:v>-0.96083427720323566</c:v>
                </c:pt>
                <c:pt idx="35">
                  <c:v>-0.9543488292155563</c:v>
                </c:pt>
                <c:pt idx="36">
                  <c:v>-0.94684886360193632</c:v>
                </c:pt>
                <c:pt idx="37">
                  <c:v>-0.93819653373641143</c:v>
                </c:pt>
                <c:pt idx="38">
                  <c:v>-0.92824245773624869</c:v>
                </c:pt>
                <c:pt idx="39">
                  <c:v>-0.91682730350607766</c:v>
                </c:pt>
                <c:pt idx="40">
                  <c:v>-0.9037844582893072</c:v>
                </c:pt>
                <c:pt idx="41">
                  <c:v>-0.88894403328859239</c:v>
                </c:pt>
                <c:pt idx="42">
                  <c:v>-0.8721384336809187</c:v>
                </c:pt>
                <c:pt idx="43">
                  <c:v>-0.85320966019861755</c:v>
                </c:pt>
                <c:pt idx="44">
                  <c:v>-0.83201838513392445</c:v>
                </c:pt>
                <c:pt idx="45">
                  <c:v>-0.80845465143853268</c:v>
                </c:pt>
                <c:pt idx="46">
                  <c:v>-0.78244977642311242</c:v>
                </c:pt>
                <c:pt idx="47">
                  <c:v>-0.75398871644894805</c:v>
                </c:pt>
                <c:pt idx="48">
                  <c:v>-0.72312180512438973</c:v>
                </c:pt>
                <c:pt idx="49">
                  <c:v>-0.6899744811276125</c:v>
                </c:pt>
                <c:pt idx="50">
                  <c:v>-0.65475346060631934</c:v>
                </c:pt>
                <c:pt idx="51">
                  <c:v>-0.61774787476924886</c:v>
                </c:pt>
                <c:pt idx="52">
                  <c:v>-0.5793242521487495</c:v>
                </c:pt>
                <c:pt idx="53">
                  <c:v>-0.53991488455556558</c:v>
                </c:pt>
                <c:pt idx="54">
                  <c:v>-0.5</c:v>
                </c:pt>
                <c:pt idx="55">
                  <c:v>-0.46008511544443442</c:v>
                </c:pt>
                <c:pt idx="56">
                  <c:v>-0.4206757478512505</c:v>
                </c:pt>
                <c:pt idx="57">
                  <c:v>-0.38225212523075103</c:v>
                </c:pt>
                <c:pt idx="58">
                  <c:v>-0.34524653939368066</c:v>
                </c:pt>
                <c:pt idx="59">
                  <c:v>-0.3100255188723875</c:v>
                </c:pt>
                <c:pt idx="60">
                  <c:v>-0.27687819487561027</c:v>
                </c:pt>
                <c:pt idx="61">
                  <c:v>-0.24601128355105184</c:v>
                </c:pt>
                <c:pt idx="62">
                  <c:v>-0.21755022357688758</c:v>
                </c:pt>
                <c:pt idx="63">
                  <c:v>-0.19154534856146743</c:v>
                </c:pt>
                <c:pt idx="64">
                  <c:v>-0.16798161486607555</c:v>
                </c:pt>
                <c:pt idx="65">
                  <c:v>-0.14679033980138234</c:v>
                </c:pt>
                <c:pt idx="66">
                  <c:v>-0.1278615663190813</c:v>
                </c:pt>
                <c:pt idx="67">
                  <c:v>-0.11105596671140761</c:v>
                </c:pt>
                <c:pt idx="68">
                  <c:v>-9.6215541710692798E-2</c:v>
                </c:pt>
                <c:pt idx="69">
                  <c:v>-8.3172696493922338E-2</c:v>
                </c:pt>
                <c:pt idx="70">
                  <c:v>-7.1757542263751417E-2</c:v>
                </c:pt>
                <c:pt idx="71">
                  <c:v>-6.1803466263588569E-2</c:v>
                </c:pt>
                <c:pt idx="72">
                  <c:v>-5.3151136398063792E-2</c:v>
                </c:pt>
                <c:pt idx="73">
                  <c:v>-4.5651170784443584E-2</c:v>
                </c:pt>
                <c:pt idx="74">
                  <c:v>-3.9165722796764335E-2</c:v>
                </c:pt>
                <c:pt idx="75">
                  <c:v>-3.3569223281482485E-2</c:v>
                </c:pt>
                <c:pt idx="76">
                  <c:v>-2.8748495926540052E-2</c:v>
                </c:pt>
                <c:pt idx="77">
                  <c:v>-2.4602428402739518E-2</c:v>
                </c:pt>
                <c:pt idx="78">
                  <c:v>-2.1041347020468337E-2</c:v>
                </c:pt>
                <c:pt idx="79">
                  <c:v>-1.7986209962091548E-2</c:v>
                </c:pt>
                <c:pt idx="80">
                  <c:v>-1.5367705565275558E-2</c:v>
                </c:pt>
                <c:pt idx="81">
                  <c:v>-1.3125318337102843E-2</c:v>
                </c:pt>
                <c:pt idx="82">
                  <c:v>-1.1206406321842888E-2</c:v>
                </c:pt>
                <c:pt idx="83">
                  <c:v>-9.5653186720916494E-3</c:v>
                </c:pt>
                <c:pt idx="84">
                  <c:v>-8.162571153159881E-3</c:v>
                </c:pt>
                <c:pt idx="85">
                  <c:v>-6.964089177762145E-3</c:v>
                </c:pt>
                <c:pt idx="86">
                  <c:v>-5.9405221983402923E-3</c:v>
                </c:pt>
                <c:pt idx="87">
                  <c:v>-5.0666293334662438E-3</c:v>
                </c:pt>
                <c:pt idx="88">
                  <c:v>-4.3207335199119123E-3</c:v>
                </c:pt>
                <c:pt idx="89">
                  <c:v>-3.6842398994358927E-3</c:v>
                </c:pt>
                <c:pt idx="90">
                  <c:v>-3.1412132848294139E-3</c:v>
                </c:pt>
                <c:pt idx="91">
                  <c:v>-2.6780091862129707E-3</c:v>
                </c:pt>
                <c:pt idx="92">
                  <c:v>-2.2829528535029953E-3</c:v>
                </c:pt>
                <c:pt idx="93">
                  <c:v>-1.9460609850856514E-3</c:v>
                </c:pt>
                <c:pt idx="94">
                  <c:v>-1.6588010801744657E-3</c:v>
                </c:pt>
                <c:pt idx="95">
                  <c:v>-1.413883812460659E-3</c:v>
                </c:pt>
                <c:pt idx="96">
                  <c:v>-1.2050842337789636E-3</c:v>
                </c:pt>
                <c:pt idx="97">
                  <c:v>-1.0270880507114999E-3</c:v>
                </c:pt>
                <c:pt idx="98">
                  <c:v>-8.7535963642937364E-4</c:v>
                </c:pt>
                <c:pt idx="99">
                  <c:v>-7.4602883383667606E-4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2B-4D36-8592-FA52515AA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245600"/>
        <c:axId val="138650432"/>
      </c:scatterChart>
      <c:valAx>
        <c:axId val="131060240"/>
        <c:scaling>
          <c:orientation val="minMax"/>
          <c:max val="1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59280"/>
        <c:crosses val="autoZero"/>
        <c:crossBetween val="midCat"/>
      </c:valAx>
      <c:valAx>
        <c:axId val="13105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60240"/>
        <c:crosses val="autoZero"/>
        <c:crossBetween val="midCat"/>
      </c:valAx>
      <c:valAx>
        <c:axId val="138650432"/>
        <c:scaling>
          <c:orientation val="minMax"/>
          <c:max val="0"/>
          <c:min val="-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45600"/>
        <c:crosses val="max"/>
        <c:crossBetween val="midCat"/>
      </c:valAx>
      <c:valAx>
        <c:axId val="36324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65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25</xdr:row>
          <xdr:rowOff>171450</xdr:rowOff>
        </xdr:from>
        <xdr:to>
          <xdr:col>2</xdr:col>
          <xdr:colOff>488950</xdr:colOff>
          <xdr:row>30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Solve!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31</xdr:row>
      <xdr:rowOff>0</xdr:rowOff>
    </xdr:from>
    <xdr:to>
      <xdr:col>11</xdr:col>
      <xdr:colOff>495300</xdr:colOff>
      <xdr:row>57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54947-682F-463C-A87F-AC37503A328E}">
  <sheetPr codeName="Sheet1"/>
  <dimension ref="B1:BE12"/>
  <sheetViews>
    <sheetView zoomScale="89" zoomScaleNormal="89" workbookViewId="0">
      <selection activeCell="B7" sqref="B7"/>
    </sheetView>
  </sheetViews>
  <sheetFormatPr defaultRowHeight="14.5" x14ac:dyDescent="0.35"/>
  <cols>
    <col min="2" max="2" width="11.7265625" bestFit="1" customWidth="1"/>
    <col min="3" max="3" width="16.81640625" bestFit="1" customWidth="1"/>
    <col min="4" max="4" width="16.81640625" customWidth="1"/>
    <col min="5" max="5" width="28.453125" bestFit="1" customWidth="1"/>
    <col min="6" max="6" width="26.90625" bestFit="1" customWidth="1"/>
    <col min="7" max="7" width="21.90625" bestFit="1" customWidth="1"/>
    <col min="8" max="8" width="26.26953125" bestFit="1" customWidth="1"/>
    <col min="9" max="9" width="22.81640625" bestFit="1" customWidth="1"/>
    <col min="10" max="10" width="16.36328125" bestFit="1" customWidth="1"/>
    <col min="11" max="11" width="23.08984375" bestFit="1" customWidth="1"/>
    <col min="12" max="12" width="14.54296875" bestFit="1" customWidth="1"/>
    <col min="13" max="13" width="21.36328125" bestFit="1" customWidth="1"/>
    <col min="14" max="14" width="10.7265625" bestFit="1" customWidth="1"/>
    <col min="15" max="15" width="13.36328125" bestFit="1" customWidth="1"/>
    <col min="16" max="16" width="15.1796875" bestFit="1" customWidth="1"/>
    <col min="17" max="17" width="9.7265625" bestFit="1" customWidth="1"/>
    <col min="18" max="18" width="11.36328125" bestFit="1" customWidth="1"/>
    <col min="19" max="20" width="7.6328125" bestFit="1" customWidth="1"/>
    <col min="21" max="21" width="9.08984375" bestFit="1" customWidth="1"/>
    <col min="22" max="23" width="7.6328125" bestFit="1" customWidth="1"/>
    <col min="24" max="24" width="8.08984375" bestFit="1" customWidth="1"/>
    <col min="25" max="25" width="7.6328125" bestFit="1" customWidth="1"/>
    <col min="26" max="26" width="10" bestFit="1" customWidth="1"/>
    <col min="27" max="27" width="7.6328125" bestFit="1" customWidth="1"/>
    <col min="28" max="28" width="9.08984375" bestFit="1" customWidth="1"/>
    <col min="29" max="29" width="14.36328125" bestFit="1" customWidth="1"/>
    <col min="30" max="30" width="7.6328125" bestFit="1" customWidth="1"/>
    <col min="31" max="31" width="11.81640625" bestFit="1" customWidth="1"/>
    <col min="32" max="32" width="9.08984375" bestFit="1" customWidth="1"/>
    <col min="33" max="33" width="7.6328125" bestFit="1" customWidth="1"/>
    <col min="34" max="34" width="16.36328125" bestFit="1" customWidth="1"/>
    <col min="35" max="35" width="23.08984375" bestFit="1" customWidth="1"/>
    <col min="36" max="36" width="14.54296875" bestFit="1" customWidth="1"/>
    <col min="37" max="37" width="21.36328125" bestFit="1" customWidth="1"/>
    <col min="38" max="38" width="10.7265625" bestFit="1" customWidth="1"/>
    <col min="39" max="39" width="13.36328125" bestFit="1" customWidth="1"/>
    <col min="40" max="40" width="15.1796875" bestFit="1" customWidth="1"/>
    <col min="41" max="41" width="9.7265625" bestFit="1" customWidth="1"/>
    <col min="42" max="42" width="11.36328125" bestFit="1" customWidth="1"/>
    <col min="43" max="43" width="5.7265625" bestFit="1" customWidth="1"/>
    <col min="44" max="44" width="4.6328125" bestFit="1" customWidth="1"/>
    <col min="45" max="45" width="7.26953125" bestFit="1" customWidth="1"/>
    <col min="46" max="47" width="6.6328125" bestFit="1" customWidth="1"/>
    <col min="48" max="48" width="8.08984375" bestFit="1" customWidth="1"/>
    <col min="49" max="49" width="6.6328125" bestFit="1" customWidth="1"/>
    <col min="50" max="50" width="10" bestFit="1" customWidth="1"/>
    <col min="51" max="51" width="5.6328125" bestFit="1" customWidth="1"/>
    <col min="52" max="52" width="7.7265625" bestFit="1" customWidth="1"/>
    <col min="53" max="53" width="14.36328125" bestFit="1" customWidth="1"/>
    <col min="54" max="54" width="4.6328125" bestFit="1" customWidth="1"/>
    <col min="55" max="55" width="11.81640625" bestFit="1" customWidth="1"/>
    <col min="56" max="56" width="5.453125" bestFit="1" customWidth="1"/>
    <col min="57" max="57" width="6.6328125" bestFit="1" customWidth="1"/>
  </cols>
  <sheetData>
    <row r="1" spans="2:57" x14ac:dyDescent="0.35">
      <c r="B1" cm="1">
        <f t="array" ref="B1:BE1">_xlfn.SEQUENCE(,56)</f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</row>
    <row r="2" spans="2:57" x14ac:dyDescent="0.35">
      <c r="B2" t="s">
        <v>0</v>
      </c>
      <c r="C2" t="s">
        <v>6</v>
      </c>
      <c r="D2" t="s">
        <v>7</v>
      </c>
      <c r="E2" t="s">
        <v>1</v>
      </c>
      <c r="F2" t="s">
        <v>2</v>
      </c>
      <c r="G2" t="s">
        <v>3</v>
      </c>
      <c r="H2" t="s">
        <v>4</v>
      </c>
      <c r="I2" t="s">
        <v>5</v>
      </c>
      <c r="J2" t="s">
        <v>8</v>
      </c>
      <c r="K2" t="s">
        <v>9</v>
      </c>
      <c r="L2" t="s">
        <v>10</v>
      </c>
      <c r="M2" t="s">
        <v>31</v>
      </c>
      <c r="N2" t="s">
        <v>30</v>
      </c>
      <c r="O2" t="s">
        <v>29</v>
      </c>
      <c r="P2" t="s">
        <v>28</v>
      </c>
      <c r="Q2" t="s">
        <v>27</v>
      </c>
      <c r="R2" t="s">
        <v>26</v>
      </c>
      <c r="S2" t="s">
        <v>25</v>
      </c>
      <c r="T2" t="s">
        <v>24</v>
      </c>
      <c r="U2" t="s">
        <v>23</v>
      </c>
      <c r="V2" t="s">
        <v>22</v>
      </c>
      <c r="W2" t="s">
        <v>21</v>
      </c>
      <c r="X2" t="s">
        <v>20</v>
      </c>
      <c r="Y2" t="s">
        <v>19</v>
      </c>
      <c r="Z2" t="s">
        <v>18</v>
      </c>
      <c r="AA2" t="s">
        <v>17</v>
      </c>
      <c r="AB2" t="s">
        <v>16</v>
      </c>
      <c r="AC2" t="s">
        <v>15</v>
      </c>
      <c r="AD2" t="s">
        <v>14</v>
      </c>
      <c r="AE2" t="s">
        <v>13</v>
      </c>
      <c r="AF2" t="s">
        <v>12</v>
      </c>
      <c r="AG2" t="s">
        <v>11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  <c r="AS2" t="s">
        <v>43</v>
      </c>
      <c r="AT2" t="s">
        <v>44</v>
      </c>
      <c r="AU2" t="s">
        <v>45</v>
      </c>
      <c r="AV2" t="s">
        <v>46</v>
      </c>
      <c r="AW2" t="s">
        <v>47</v>
      </c>
      <c r="AX2" t="s">
        <v>48</v>
      </c>
      <c r="AY2" t="s">
        <v>49</v>
      </c>
      <c r="AZ2" t="s">
        <v>50</v>
      </c>
      <c r="BA2" t="s">
        <v>51</v>
      </c>
      <c r="BB2" t="s">
        <v>52</v>
      </c>
      <c r="BC2" t="s">
        <v>53</v>
      </c>
      <c r="BD2" t="s">
        <v>54</v>
      </c>
      <c r="BE2" t="s">
        <v>55</v>
      </c>
    </row>
    <row r="3" spans="2:57" x14ac:dyDescent="0.35">
      <c r="B3">
        <v>1</v>
      </c>
      <c r="C3" s="2">
        <v>0</v>
      </c>
      <c r="D3" s="2">
        <v>20140</v>
      </c>
      <c r="E3" s="2">
        <v>15122</v>
      </c>
      <c r="F3" s="2">
        <v>14592</v>
      </c>
      <c r="G3" s="2">
        <v>8910</v>
      </c>
      <c r="H3" s="2">
        <v>5682</v>
      </c>
      <c r="I3" s="2">
        <v>20734</v>
      </c>
      <c r="J3" s="2">
        <v>281</v>
      </c>
      <c r="K3" s="2">
        <v>11</v>
      </c>
      <c r="L3" s="2">
        <v>403</v>
      </c>
      <c r="M3" s="2">
        <v>4</v>
      </c>
      <c r="N3" s="2">
        <v>69</v>
      </c>
      <c r="O3" s="2">
        <v>71</v>
      </c>
      <c r="P3" s="2">
        <v>520</v>
      </c>
      <c r="Q3" s="2">
        <v>22</v>
      </c>
      <c r="R3" s="2">
        <v>93</v>
      </c>
      <c r="S3" s="2">
        <v>200</v>
      </c>
      <c r="T3" s="2">
        <v>199</v>
      </c>
      <c r="U3" s="2">
        <v>107</v>
      </c>
      <c r="V3" s="2">
        <v>22</v>
      </c>
      <c r="W3" s="2">
        <v>55</v>
      </c>
      <c r="X3" s="2">
        <v>13</v>
      </c>
      <c r="Y3" s="2">
        <v>165</v>
      </c>
      <c r="Z3" s="2">
        <v>57</v>
      </c>
      <c r="AA3" s="2">
        <v>74</v>
      </c>
      <c r="AB3" s="2">
        <v>619</v>
      </c>
      <c r="AC3" s="2">
        <v>144</v>
      </c>
      <c r="AD3" s="2">
        <v>12</v>
      </c>
      <c r="AE3" s="2">
        <v>334</v>
      </c>
      <c r="AF3" s="2">
        <v>216</v>
      </c>
      <c r="AG3" s="2">
        <v>245</v>
      </c>
      <c r="AH3" s="1">
        <v>3.5</v>
      </c>
      <c r="AI3" s="3">
        <v>0.1</v>
      </c>
      <c r="AJ3" s="3">
        <v>5.0999999999999996</v>
      </c>
      <c r="AK3" s="3">
        <v>0.1</v>
      </c>
      <c r="AL3" s="3">
        <v>0.7</v>
      </c>
      <c r="AM3" s="3">
        <v>0.8</v>
      </c>
      <c r="AN3" s="3">
        <v>5.8</v>
      </c>
      <c r="AO3" s="3">
        <v>0.2</v>
      </c>
      <c r="AP3" s="3">
        <v>0.9</v>
      </c>
      <c r="AQ3" s="3">
        <v>0</v>
      </c>
      <c r="AR3" s="3">
        <v>1.1000000000000001</v>
      </c>
      <c r="AS3" s="3">
        <v>0.2</v>
      </c>
      <c r="AT3" s="3">
        <v>28.8</v>
      </c>
      <c r="AU3" s="3">
        <v>109</v>
      </c>
      <c r="AV3" s="3">
        <v>19</v>
      </c>
      <c r="AW3" s="3">
        <v>248</v>
      </c>
      <c r="AX3" s="3">
        <v>74</v>
      </c>
      <c r="AY3" s="3">
        <v>4</v>
      </c>
      <c r="AZ3" s="3">
        <v>15</v>
      </c>
      <c r="BA3" s="3">
        <v>1.1000000000000001</v>
      </c>
      <c r="BB3" s="3">
        <v>0.1</v>
      </c>
      <c r="BC3" s="3">
        <v>0.4</v>
      </c>
      <c r="BD3" s="3">
        <v>2</v>
      </c>
      <c r="BE3" s="3">
        <v>284</v>
      </c>
    </row>
    <row r="4" spans="2:57" x14ac:dyDescent="0.35">
      <c r="B4">
        <v>2</v>
      </c>
      <c r="C4" s="2">
        <v>20141</v>
      </c>
      <c r="D4" s="2">
        <v>27588</v>
      </c>
      <c r="E4" s="2">
        <v>23817</v>
      </c>
      <c r="F4" s="2">
        <v>23900</v>
      </c>
      <c r="G4" s="2">
        <v>13806</v>
      </c>
      <c r="H4" s="2">
        <v>10094</v>
      </c>
      <c r="I4" s="2">
        <v>31961</v>
      </c>
      <c r="J4" s="2">
        <v>482</v>
      </c>
      <c r="K4" s="2">
        <v>31</v>
      </c>
      <c r="L4" s="2">
        <v>573</v>
      </c>
      <c r="M4" s="2">
        <v>10</v>
      </c>
      <c r="N4" s="2">
        <v>186</v>
      </c>
      <c r="O4" s="2">
        <v>98</v>
      </c>
      <c r="P4" s="2">
        <v>836</v>
      </c>
      <c r="Q4" s="2">
        <v>40</v>
      </c>
      <c r="R4" s="2">
        <v>159</v>
      </c>
      <c r="S4" s="2">
        <v>312</v>
      </c>
      <c r="T4" s="2">
        <v>311</v>
      </c>
      <c r="U4" s="2">
        <v>315</v>
      </c>
      <c r="V4" s="2">
        <v>72</v>
      </c>
      <c r="W4" s="2">
        <v>120</v>
      </c>
      <c r="X4" s="2">
        <v>37</v>
      </c>
      <c r="Y4" s="2">
        <v>268</v>
      </c>
      <c r="Z4" s="2">
        <v>83</v>
      </c>
      <c r="AA4" s="2">
        <v>168</v>
      </c>
      <c r="AB4" s="2">
        <v>903</v>
      </c>
      <c r="AC4" s="2">
        <v>229</v>
      </c>
      <c r="AD4" s="2">
        <v>20</v>
      </c>
      <c r="AE4" s="2">
        <v>632</v>
      </c>
      <c r="AF4" s="2">
        <v>332</v>
      </c>
      <c r="AG4" s="2">
        <v>330</v>
      </c>
      <c r="AH4" s="3">
        <v>5.9</v>
      </c>
      <c r="AI4" s="3">
        <v>0.4</v>
      </c>
      <c r="AJ4" s="3">
        <v>7.4</v>
      </c>
      <c r="AK4" s="3">
        <v>0.1</v>
      </c>
      <c r="AL4" s="3">
        <v>1.8</v>
      </c>
      <c r="AM4" s="3">
        <v>1</v>
      </c>
      <c r="AN4" s="3">
        <v>9.3000000000000007</v>
      </c>
      <c r="AO4" s="3">
        <v>0.4</v>
      </c>
      <c r="AP4" s="3">
        <v>1.6</v>
      </c>
      <c r="AQ4" s="3">
        <v>0</v>
      </c>
      <c r="AR4" s="3">
        <v>1.8</v>
      </c>
      <c r="AS4" s="3">
        <v>0.6</v>
      </c>
      <c r="AT4" s="3">
        <v>88</v>
      </c>
      <c r="AU4" s="3">
        <v>227</v>
      </c>
      <c r="AV4" s="3">
        <v>50</v>
      </c>
      <c r="AW4" s="3">
        <v>399</v>
      </c>
      <c r="AX4" s="3">
        <v>112</v>
      </c>
      <c r="AY4" s="3">
        <v>8</v>
      </c>
      <c r="AZ4" s="3">
        <v>22</v>
      </c>
      <c r="BA4" s="3">
        <v>1.8</v>
      </c>
      <c r="BB4" s="3">
        <v>0.2</v>
      </c>
      <c r="BC4" s="3">
        <v>0.7</v>
      </c>
      <c r="BD4" s="3">
        <v>3</v>
      </c>
      <c r="BE4" s="3">
        <v>376</v>
      </c>
    </row>
    <row r="5" spans="2:57" x14ac:dyDescent="0.35">
      <c r="B5">
        <v>3</v>
      </c>
      <c r="C5" s="2">
        <v>27589</v>
      </c>
      <c r="D5" s="2">
        <v>33972</v>
      </c>
      <c r="E5" s="2">
        <v>30722</v>
      </c>
      <c r="F5" s="2">
        <v>30743</v>
      </c>
      <c r="G5" s="2">
        <v>16796</v>
      </c>
      <c r="H5" s="2">
        <v>13947</v>
      </c>
      <c r="I5" s="2">
        <v>39628</v>
      </c>
      <c r="J5" s="2">
        <v>454</v>
      </c>
      <c r="K5" s="2">
        <v>42</v>
      </c>
      <c r="L5" s="2">
        <v>615</v>
      </c>
      <c r="M5" s="2">
        <v>13</v>
      </c>
      <c r="N5" s="2">
        <v>264</v>
      </c>
      <c r="O5" s="2">
        <v>125</v>
      </c>
      <c r="P5" s="2">
        <v>1049</v>
      </c>
      <c r="Q5" s="2">
        <v>51</v>
      </c>
      <c r="R5" s="2">
        <v>200</v>
      </c>
      <c r="S5" s="2">
        <v>371</v>
      </c>
      <c r="T5" s="2">
        <v>370</v>
      </c>
      <c r="U5" s="2">
        <v>456</v>
      </c>
      <c r="V5" s="2">
        <v>132</v>
      </c>
      <c r="W5" s="2">
        <v>154</v>
      </c>
      <c r="X5" s="2">
        <v>91</v>
      </c>
      <c r="Y5" s="2">
        <v>308</v>
      </c>
      <c r="Z5" s="2">
        <v>107</v>
      </c>
      <c r="AA5" s="2">
        <v>202</v>
      </c>
      <c r="AB5" s="2">
        <v>1036</v>
      </c>
      <c r="AC5" s="2">
        <v>272</v>
      </c>
      <c r="AD5" s="2">
        <v>25</v>
      </c>
      <c r="AE5" s="2">
        <v>861</v>
      </c>
      <c r="AF5" s="2">
        <v>393</v>
      </c>
      <c r="AG5" s="2">
        <v>386</v>
      </c>
      <c r="AH5" s="3">
        <v>5.5</v>
      </c>
      <c r="AI5" s="3">
        <v>0.5</v>
      </c>
      <c r="AJ5" s="3">
        <v>8</v>
      </c>
      <c r="AK5" s="3">
        <v>0.1</v>
      </c>
      <c r="AL5" s="3">
        <v>2.5</v>
      </c>
      <c r="AM5" s="3">
        <v>1.3</v>
      </c>
      <c r="AN5" s="3">
        <v>11.6</v>
      </c>
      <c r="AO5" s="3">
        <v>0.5</v>
      </c>
      <c r="AP5" s="3">
        <v>2</v>
      </c>
      <c r="AQ5" s="3">
        <v>0</v>
      </c>
      <c r="AR5" s="3">
        <v>2.1</v>
      </c>
      <c r="AS5" s="3">
        <v>0.9</v>
      </c>
      <c r="AT5" s="3">
        <v>162.30000000000001</v>
      </c>
      <c r="AU5" s="3">
        <v>289</v>
      </c>
      <c r="AV5" s="3">
        <v>130</v>
      </c>
      <c r="AW5" s="3">
        <v>466</v>
      </c>
      <c r="AX5" s="3">
        <v>141</v>
      </c>
      <c r="AY5" s="3">
        <v>10</v>
      </c>
      <c r="AZ5" s="3">
        <v>25</v>
      </c>
      <c r="BA5" s="3">
        <v>2.2000000000000002</v>
      </c>
      <c r="BB5" s="3">
        <v>0.3</v>
      </c>
      <c r="BC5" s="3">
        <v>1</v>
      </c>
      <c r="BD5" s="3">
        <v>3.6</v>
      </c>
      <c r="BE5" s="3">
        <v>428</v>
      </c>
    </row>
    <row r="6" spans="2:57" x14ac:dyDescent="0.35">
      <c r="B6">
        <v>4</v>
      </c>
      <c r="C6" s="2">
        <v>33973</v>
      </c>
      <c r="D6" s="2">
        <v>40380</v>
      </c>
      <c r="E6" s="2">
        <v>37157</v>
      </c>
      <c r="F6" s="2">
        <v>37174</v>
      </c>
      <c r="G6" s="2">
        <v>19480</v>
      </c>
      <c r="H6" s="2">
        <v>17694</v>
      </c>
      <c r="I6" s="2">
        <v>48632</v>
      </c>
      <c r="J6" s="2">
        <v>511</v>
      </c>
      <c r="K6" s="2">
        <v>31</v>
      </c>
      <c r="L6" s="2">
        <v>671</v>
      </c>
      <c r="M6" s="2">
        <v>23</v>
      </c>
      <c r="N6" s="2">
        <v>378</v>
      </c>
      <c r="O6" s="2">
        <v>118</v>
      </c>
      <c r="P6" s="2">
        <v>1157</v>
      </c>
      <c r="Q6" s="2">
        <v>52</v>
      </c>
      <c r="R6" s="2">
        <v>205</v>
      </c>
      <c r="S6" s="2">
        <v>452</v>
      </c>
      <c r="T6" s="2">
        <v>402</v>
      </c>
      <c r="U6" s="2">
        <v>704</v>
      </c>
      <c r="V6" s="2">
        <v>192</v>
      </c>
      <c r="W6" s="2">
        <v>206</v>
      </c>
      <c r="X6" s="2">
        <v>120</v>
      </c>
      <c r="Y6" s="2">
        <v>322</v>
      </c>
      <c r="Z6" s="2">
        <v>110</v>
      </c>
      <c r="AA6" s="2">
        <v>265</v>
      </c>
      <c r="AB6" s="2">
        <v>1154</v>
      </c>
      <c r="AC6" s="2">
        <v>304</v>
      </c>
      <c r="AD6" s="2">
        <v>31</v>
      </c>
      <c r="AE6" s="2">
        <v>988</v>
      </c>
      <c r="AF6" s="2">
        <v>437</v>
      </c>
      <c r="AG6" s="2">
        <v>417</v>
      </c>
      <c r="AH6" s="3">
        <v>6.1</v>
      </c>
      <c r="AI6" s="3">
        <v>0.4</v>
      </c>
      <c r="AJ6" s="3">
        <v>8.6</v>
      </c>
      <c r="AK6" s="3">
        <v>0.3</v>
      </c>
      <c r="AL6" s="3">
        <v>3.6</v>
      </c>
      <c r="AM6" s="3">
        <v>1.2</v>
      </c>
      <c r="AN6" s="3">
        <v>12.8</v>
      </c>
      <c r="AO6" s="3">
        <v>0.5</v>
      </c>
      <c r="AP6" s="3">
        <v>2</v>
      </c>
      <c r="AQ6" s="3">
        <v>0.1</v>
      </c>
      <c r="AR6" s="3">
        <v>2.2999999999999998</v>
      </c>
      <c r="AS6" s="3">
        <v>1.4</v>
      </c>
      <c r="AT6" s="3">
        <v>232.6</v>
      </c>
      <c r="AU6" s="3">
        <v>400</v>
      </c>
      <c r="AV6" s="3">
        <v>172</v>
      </c>
      <c r="AW6" s="3">
        <v>475</v>
      </c>
      <c r="AX6" s="3">
        <v>149</v>
      </c>
      <c r="AY6" s="3">
        <v>13</v>
      </c>
      <c r="AZ6" s="3">
        <v>27</v>
      </c>
      <c r="BA6" s="3">
        <v>2.4</v>
      </c>
      <c r="BB6" s="3">
        <v>0.3</v>
      </c>
      <c r="BC6" s="3">
        <v>1.1000000000000001</v>
      </c>
      <c r="BD6" s="3">
        <v>3.9</v>
      </c>
      <c r="BE6" s="3">
        <v>454</v>
      </c>
    </row>
    <row r="7" spans="2:57" x14ac:dyDescent="0.35">
      <c r="B7">
        <v>5</v>
      </c>
      <c r="C7" s="2">
        <v>40381</v>
      </c>
      <c r="D7" s="2">
        <v>47544</v>
      </c>
      <c r="E7" s="2">
        <v>43733</v>
      </c>
      <c r="F7" s="2">
        <v>43860</v>
      </c>
      <c r="G7" s="2">
        <v>21372</v>
      </c>
      <c r="H7" s="2">
        <v>22488</v>
      </c>
      <c r="I7" s="2">
        <v>54416</v>
      </c>
      <c r="J7" s="2">
        <v>516</v>
      </c>
      <c r="K7" s="2">
        <v>60</v>
      </c>
      <c r="L7" s="2">
        <v>583</v>
      </c>
      <c r="M7" s="2">
        <v>23</v>
      </c>
      <c r="N7" s="2">
        <v>441</v>
      </c>
      <c r="O7" s="2">
        <v>121</v>
      </c>
      <c r="P7" s="2">
        <v>1198</v>
      </c>
      <c r="Q7" s="2">
        <v>44</v>
      </c>
      <c r="R7" s="2">
        <v>254</v>
      </c>
      <c r="S7" s="2">
        <v>492</v>
      </c>
      <c r="T7" s="2">
        <v>418</v>
      </c>
      <c r="U7" s="2">
        <v>809</v>
      </c>
      <c r="V7" s="2">
        <v>208</v>
      </c>
      <c r="W7" s="2">
        <v>258</v>
      </c>
      <c r="X7" s="2">
        <v>200</v>
      </c>
      <c r="Y7" s="2">
        <v>342</v>
      </c>
      <c r="Z7" s="2">
        <v>120</v>
      </c>
      <c r="AA7" s="2">
        <v>284</v>
      </c>
      <c r="AB7" s="2">
        <v>1195</v>
      </c>
      <c r="AC7" s="2">
        <v>341</v>
      </c>
      <c r="AD7" s="2">
        <v>31</v>
      </c>
      <c r="AE7" s="2">
        <v>1136</v>
      </c>
      <c r="AF7" s="2">
        <v>464</v>
      </c>
      <c r="AG7" s="2">
        <v>444</v>
      </c>
      <c r="AH7" s="3">
        <v>6.3</v>
      </c>
      <c r="AI7" s="3">
        <v>0.6</v>
      </c>
      <c r="AJ7" s="3">
        <v>7.5</v>
      </c>
      <c r="AK7" s="3">
        <v>0.3</v>
      </c>
      <c r="AL7" s="3">
        <v>4.2</v>
      </c>
      <c r="AM7" s="3">
        <v>1.3</v>
      </c>
      <c r="AN7" s="3">
        <v>13.1</v>
      </c>
      <c r="AO7" s="3">
        <v>0.4</v>
      </c>
      <c r="AP7" s="3">
        <v>2.5</v>
      </c>
      <c r="AQ7" s="3">
        <v>0.1</v>
      </c>
      <c r="AR7" s="3">
        <v>2.5</v>
      </c>
      <c r="AS7" s="3">
        <v>1.6</v>
      </c>
      <c r="AT7" s="3">
        <v>248</v>
      </c>
      <c r="AU7" s="3">
        <v>483</v>
      </c>
      <c r="AV7" s="3">
        <v>277</v>
      </c>
      <c r="AW7" s="3">
        <v>499</v>
      </c>
      <c r="AX7" s="3">
        <v>155</v>
      </c>
      <c r="AY7" s="3">
        <v>14</v>
      </c>
      <c r="AZ7" s="3">
        <v>27</v>
      </c>
      <c r="BA7" s="3">
        <v>2.7</v>
      </c>
      <c r="BB7" s="3">
        <v>0.3</v>
      </c>
      <c r="BC7" s="3">
        <v>1.3</v>
      </c>
      <c r="BD7" s="3">
        <v>4.2</v>
      </c>
      <c r="BE7" s="3">
        <v>479</v>
      </c>
    </row>
    <row r="8" spans="2:57" x14ac:dyDescent="0.35">
      <c r="B8">
        <v>6</v>
      </c>
      <c r="C8" s="2">
        <v>47545</v>
      </c>
      <c r="D8" s="2">
        <v>55634</v>
      </c>
      <c r="E8" s="2">
        <v>51332</v>
      </c>
      <c r="F8" s="2">
        <v>51420</v>
      </c>
      <c r="G8" s="2">
        <v>23085</v>
      </c>
      <c r="H8" s="2">
        <v>28335</v>
      </c>
      <c r="I8" s="2">
        <v>63020</v>
      </c>
      <c r="J8" s="2">
        <v>508</v>
      </c>
      <c r="K8" s="2">
        <v>74</v>
      </c>
      <c r="L8" s="2">
        <v>638</v>
      </c>
      <c r="M8" s="2">
        <v>30</v>
      </c>
      <c r="N8" s="2">
        <v>568</v>
      </c>
      <c r="O8" s="2">
        <v>108</v>
      </c>
      <c r="P8" s="2">
        <v>1187</v>
      </c>
      <c r="Q8" s="2">
        <v>50</v>
      </c>
      <c r="R8" s="2">
        <v>238</v>
      </c>
      <c r="S8" s="2">
        <v>535</v>
      </c>
      <c r="T8" s="2">
        <v>448</v>
      </c>
      <c r="U8" s="2">
        <v>947</v>
      </c>
      <c r="V8" s="2">
        <v>233</v>
      </c>
      <c r="W8" s="2">
        <v>237</v>
      </c>
      <c r="X8" s="2">
        <v>230</v>
      </c>
      <c r="Y8" s="2">
        <v>357</v>
      </c>
      <c r="Z8" s="2">
        <v>120</v>
      </c>
      <c r="AA8" s="2">
        <v>305</v>
      </c>
      <c r="AB8" s="2">
        <v>1271</v>
      </c>
      <c r="AC8" s="2">
        <v>342</v>
      </c>
      <c r="AD8" s="2">
        <v>53</v>
      </c>
      <c r="AE8" s="2">
        <v>1204</v>
      </c>
      <c r="AF8" s="2">
        <v>468</v>
      </c>
      <c r="AG8" s="2">
        <v>463</v>
      </c>
      <c r="AH8" s="3">
        <v>6.1</v>
      </c>
      <c r="AI8" s="3">
        <v>0.8</v>
      </c>
      <c r="AJ8" s="3">
        <v>8.1</v>
      </c>
      <c r="AK8" s="3">
        <v>0.4</v>
      </c>
      <c r="AL8" s="3">
        <v>5.3</v>
      </c>
      <c r="AM8" s="3">
        <v>1.1000000000000001</v>
      </c>
      <c r="AN8" s="3">
        <v>13.1</v>
      </c>
      <c r="AO8" s="3">
        <v>0.4</v>
      </c>
      <c r="AP8" s="3">
        <v>2.2999999999999998</v>
      </c>
      <c r="AQ8" s="3">
        <v>0.1</v>
      </c>
      <c r="AR8" s="3">
        <v>2.6</v>
      </c>
      <c r="AS8" s="3">
        <v>1.9</v>
      </c>
      <c r="AT8" s="3">
        <v>278.7</v>
      </c>
      <c r="AU8" s="3">
        <v>408</v>
      </c>
      <c r="AV8" s="3">
        <v>307</v>
      </c>
      <c r="AW8" s="3">
        <v>516</v>
      </c>
      <c r="AX8" s="3">
        <v>150</v>
      </c>
      <c r="AY8" s="3">
        <v>15</v>
      </c>
      <c r="AZ8" s="3">
        <v>29</v>
      </c>
      <c r="BA8" s="3">
        <v>2.7</v>
      </c>
      <c r="BB8" s="3">
        <v>0.5</v>
      </c>
      <c r="BC8" s="3">
        <v>1.3</v>
      </c>
      <c r="BD8" s="3">
        <v>4.3</v>
      </c>
      <c r="BE8" s="3">
        <v>487</v>
      </c>
    </row>
    <row r="9" spans="2:57" x14ac:dyDescent="0.35">
      <c r="B9">
        <v>7</v>
      </c>
      <c r="C9" s="2">
        <v>55635</v>
      </c>
      <c r="D9" s="2">
        <v>66761</v>
      </c>
      <c r="E9" s="2">
        <v>60796</v>
      </c>
      <c r="F9" s="2">
        <v>60930</v>
      </c>
      <c r="G9" s="2">
        <v>25175</v>
      </c>
      <c r="H9" s="2">
        <v>35755</v>
      </c>
      <c r="I9" s="2">
        <v>70013</v>
      </c>
      <c r="J9" s="2">
        <v>538</v>
      </c>
      <c r="K9" s="2">
        <v>68</v>
      </c>
      <c r="L9" s="2">
        <v>650</v>
      </c>
      <c r="M9" s="2">
        <v>27</v>
      </c>
      <c r="N9" s="2">
        <v>667</v>
      </c>
      <c r="O9" s="2">
        <v>117</v>
      </c>
      <c r="P9" s="2">
        <v>1091</v>
      </c>
      <c r="Q9" s="2">
        <v>79</v>
      </c>
      <c r="R9" s="2">
        <v>225</v>
      </c>
      <c r="S9" s="2">
        <v>582</v>
      </c>
      <c r="T9" s="2">
        <v>487</v>
      </c>
      <c r="U9" s="2">
        <v>1059</v>
      </c>
      <c r="V9" s="2">
        <v>260</v>
      </c>
      <c r="W9" s="2">
        <v>317</v>
      </c>
      <c r="X9" s="2">
        <v>291</v>
      </c>
      <c r="Y9" s="2">
        <v>381</v>
      </c>
      <c r="Z9" s="2">
        <v>112</v>
      </c>
      <c r="AA9" s="2">
        <v>346</v>
      </c>
      <c r="AB9" s="2">
        <v>1308</v>
      </c>
      <c r="AC9" s="2">
        <v>367</v>
      </c>
      <c r="AD9" s="2">
        <v>62</v>
      </c>
      <c r="AE9" s="2">
        <v>1358</v>
      </c>
      <c r="AF9" s="2">
        <v>484</v>
      </c>
      <c r="AG9" s="2">
        <v>484</v>
      </c>
      <c r="AH9" s="3">
        <v>6.4</v>
      </c>
      <c r="AI9" s="3">
        <v>0.7</v>
      </c>
      <c r="AJ9" s="3">
        <v>8.1999999999999993</v>
      </c>
      <c r="AK9" s="3">
        <v>0.3</v>
      </c>
      <c r="AL9" s="3">
        <v>6.2</v>
      </c>
      <c r="AM9" s="3">
        <v>1.2</v>
      </c>
      <c r="AN9" s="3">
        <v>11.9</v>
      </c>
      <c r="AO9" s="3">
        <v>0.7</v>
      </c>
      <c r="AP9" s="3">
        <v>2.2999999999999998</v>
      </c>
      <c r="AQ9" s="3">
        <v>0.1</v>
      </c>
      <c r="AR9" s="3">
        <v>2.8</v>
      </c>
      <c r="AS9" s="3">
        <v>2.1</v>
      </c>
      <c r="AT9" s="3">
        <v>299</v>
      </c>
      <c r="AU9" s="3">
        <v>555</v>
      </c>
      <c r="AV9" s="3">
        <v>380</v>
      </c>
      <c r="AW9" s="3">
        <v>549</v>
      </c>
      <c r="AX9" s="3">
        <v>136</v>
      </c>
      <c r="AY9" s="3">
        <v>17</v>
      </c>
      <c r="AZ9" s="3">
        <v>29</v>
      </c>
      <c r="BA9" s="3">
        <v>2.9</v>
      </c>
      <c r="BB9" s="3">
        <v>0.6</v>
      </c>
      <c r="BC9" s="3">
        <v>1.5</v>
      </c>
      <c r="BD9" s="3">
        <v>4.4000000000000004</v>
      </c>
      <c r="BE9" s="3">
        <v>499</v>
      </c>
    </row>
    <row r="10" spans="2:57" x14ac:dyDescent="0.35">
      <c r="B10">
        <v>8</v>
      </c>
      <c r="C10" s="2">
        <v>66762</v>
      </c>
      <c r="D10" s="2">
        <v>82858</v>
      </c>
      <c r="E10" s="2">
        <v>74028</v>
      </c>
      <c r="F10" s="2">
        <v>74202</v>
      </c>
      <c r="G10" s="2">
        <v>27587</v>
      </c>
      <c r="H10" s="2">
        <v>46615</v>
      </c>
      <c r="I10" s="2">
        <v>88199</v>
      </c>
      <c r="J10" s="2">
        <v>465</v>
      </c>
      <c r="K10" s="2">
        <v>113</v>
      </c>
      <c r="L10" s="2">
        <v>603</v>
      </c>
      <c r="M10" s="2">
        <v>55</v>
      </c>
      <c r="N10" s="2">
        <v>810</v>
      </c>
      <c r="O10" s="2">
        <v>114</v>
      </c>
      <c r="P10" s="2">
        <v>994</v>
      </c>
      <c r="Q10" s="2">
        <v>121</v>
      </c>
      <c r="R10" s="2">
        <v>184</v>
      </c>
      <c r="S10" s="2">
        <v>639</v>
      </c>
      <c r="T10" s="2">
        <v>511</v>
      </c>
      <c r="U10" s="2">
        <v>1231</v>
      </c>
      <c r="V10" s="2">
        <v>257</v>
      </c>
      <c r="W10" s="2">
        <v>296</v>
      </c>
      <c r="X10" s="2">
        <v>376</v>
      </c>
      <c r="Y10" s="2">
        <v>394</v>
      </c>
      <c r="Z10" s="2">
        <v>110</v>
      </c>
      <c r="AA10" s="2">
        <v>354</v>
      </c>
      <c r="AB10" s="2">
        <v>1365</v>
      </c>
      <c r="AC10" s="2">
        <v>408</v>
      </c>
      <c r="AD10" s="2">
        <v>77</v>
      </c>
      <c r="AE10" s="2">
        <v>1514</v>
      </c>
      <c r="AF10" s="2">
        <v>481</v>
      </c>
      <c r="AG10" s="2">
        <v>501</v>
      </c>
      <c r="AH10" s="3">
        <v>5.6</v>
      </c>
      <c r="AI10" s="3">
        <v>1.2</v>
      </c>
      <c r="AJ10" s="3">
        <v>7.6</v>
      </c>
      <c r="AK10" s="3">
        <v>0.6</v>
      </c>
      <c r="AL10" s="3">
        <v>7.5</v>
      </c>
      <c r="AM10" s="3">
        <v>1.2</v>
      </c>
      <c r="AN10" s="3">
        <v>10.9</v>
      </c>
      <c r="AO10" s="3">
        <v>0.9</v>
      </c>
      <c r="AP10" s="3">
        <v>1.8</v>
      </c>
      <c r="AQ10" s="3">
        <v>0.1</v>
      </c>
      <c r="AR10" s="3">
        <v>2.9</v>
      </c>
      <c r="AS10" s="3">
        <v>2.4</v>
      </c>
      <c r="AT10" s="3">
        <v>281</v>
      </c>
      <c r="AU10" s="3">
        <v>508</v>
      </c>
      <c r="AV10" s="3">
        <v>494</v>
      </c>
      <c r="AW10" s="3">
        <v>557</v>
      </c>
      <c r="AX10" s="3">
        <v>135</v>
      </c>
      <c r="AY10" s="3">
        <v>18</v>
      </c>
      <c r="AZ10" s="3">
        <v>30</v>
      </c>
      <c r="BA10" s="3">
        <v>3.2</v>
      </c>
      <c r="BB10" s="3">
        <v>0.6</v>
      </c>
      <c r="BC10" s="3">
        <v>1.7</v>
      </c>
      <c r="BD10" s="3">
        <v>4.4000000000000004</v>
      </c>
      <c r="BE10" s="3">
        <v>498</v>
      </c>
    </row>
    <row r="11" spans="2:57" x14ac:dyDescent="0.35">
      <c r="B11">
        <v>9</v>
      </c>
      <c r="C11" s="2">
        <v>82859</v>
      </c>
      <c r="D11" s="2">
        <v>114984</v>
      </c>
      <c r="E11" s="2">
        <v>95178</v>
      </c>
      <c r="F11" s="2">
        <v>96384</v>
      </c>
      <c r="G11" s="2">
        <v>29968</v>
      </c>
      <c r="H11" s="2">
        <v>66416</v>
      </c>
      <c r="I11" s="2">
        <v>112376</v>
      </c>
      <c r="J11" s="2">
        <v>465</v>
      </c>
      <c r="K11" s="2">
        <v>109</v>
      </c>
      <c r="L11" s="2">
        <v>672</v>
      </c>
      <c r="M11" s="2">
        <v>50</v>
      </c>
      <c r="N11" s="2">
        <v>933</v>
      </c>
      <c r="O11" s="2">
        <v>108</v>
      </c>
      <c r="P11" s="2">
        <v>915</v>
      </c>
      <c r="Q11" s="2">
        <v>133</v>
      </c>
      <c r="R11" s="2">
        <v>173</v>
      </c>
      <c r="S11" s="2">
        <v>645</v>
      </c>
      <c r="T11" s="2">
        <v>532</v>
      </c>
      <c r="U11" s="2">
        <v>1348</v>
      </c>
      <c r="V11" s="2">
        <v>163</v>
      </c>
      <c r="W11" s="2">
        <v>272</v>
      </c>
      <c r="X11" s="2">
        <v>451</v>
      </c>
      <c r="Y11" s="2">
        <v>409</v>
      </c>
      <c r="Z11" s="2">
        <v>94</v>
      </c>
      <c r="AA11" s="2">
        <v>381</v>
      </c>
      <c r="AB11" s="2">
        <v>1450</v>
      </c>
      <c r="AC11" s="2">
        <v>428</v>
      </c>
      <c r="AD11" s="2">
        <v>72</v>
      </c>
      <c r="AE11" s="2">
        <v>1657</v>
      </c>
      <c r="AF11" s="2">
        <v>487</v>
      </c>
      <c r="AG11" s="2">
        <v>532</v>
      </c>
      <c r="AH11" s="3">
        <v>5.6</v>
      </c>
      <c r="AI11" s="3">
        <v>1.1000000000000001</v>
      </c>
      <c r="AJ11" s="3">
        <v>8.1999999999999993</v>
      </c>
      <c r="AK11" s="3">
        <v>0.5</v>
      </c>
      <c r="AL11" s="3">
        <v>8.5</v>
      </c>
      <c r="AM11" s="3">
        <v>1.1000000000000001</v>
      </c>
      <c r="AN11" s="3">
        <v>10.1</v>
      </c>
      <c r="AO11" s="3">
        <v>1</v>
      </c>
      <c r="AP11" s="3">
        <v>1.7</v>
      </c>
      <c r="AQ11" s="3">
        <v>0.1</v>
      </c>
      <c r="AR11" s="3">
        <v>3.1</v>
      </c>
      <c r="AS11" s="3">
        <v>2.6</v>
      </c>
      <c r="AT11" s="3">
        <v>181</v>
      </c>
      <c r="AU11" s="3">
        <v>468</v>
      </c>
      <c r="AV11" s="3">
        <v>564</v>
      </c>
      <c r="AW11" s="3">
        <v>570</v>
      </c>
      <c r="AX11" s="3">
        <v>113</v>
      </c>
      <c r="AY11" s="3">
        <v>19</v>
      </c>
      <c r="AZ11" s="3">
        <v>31</v>
      </c>
      <c r="BA11" s="3">
        <v>3.3</v>
      </c>
      <c r="BB11" s="3">
        <v>0.6</v>
      </c>
      <c r="BC11" s="3">
        <v>1.8</v>
      </c>
      <c r="BD11" s="3">
        <v>4.4000000000000004</v>
      </c>
      <c r="BE11" s="3">
        <v>522</v>
      </c>
    </row>
    <row r="12" spans="2:57" x14ac:dyDescent="0.35">
      <c r="B12">
        <v>10</v>
      </c>
      <c r="C12" s="2">
        <v>114985</v>
      </c>
      <c r="D12" s="2"/>
      <c r="E12" s="2">
        <v>156372</v>
      </c>
      <c r="F12" s="2">
        <v>198169</v>
      </c>
      <c r="G12" s="2">
        <v>35128</v>
      </c>
      <c r="H12" s="2">
        <v>163042</v>
      </c>
      <c r="I12" s="2">
        <v>235253</v>
      </c>
      <c r="J12" s="2">
        <v>449</v>
      </c>
      <c r="K12" s="2">
        <v>126</v>
      </c>
      <c r="L12" s="2">
        <v>545</v>
      </c>
      <c r="M12" s="2">
        <v>75</v>
      </c>
      <c r="N12" s="2">
        <v>970</v>
      </c>
      <c r="O12" s="2">
        <v>72</v>
      </c>
      <c r="P12" s="2">
        <v>683</v>
      </c>
      <c r="Q12" s="2">
        <v>254</v>
      </c>
      <c r="R12" s="2">
        <v>144</v>
      </c>
      <c r="S12" s="2">
        <v>705</v>
      </c>
      <c r="T12" s="2">
        <v>560</v>
      </c>
      <c r="U12" s="2">
        <v>1739</v>
      </c>
      <c r="V12" s="2">
        <v>196</v>
      </c>
      <c r="W12" s="2">
        <v>276</v>
      </c>
      <c r="X12" s="2">
        <v>676</v>
      </c>
      <c r="Y12" s="2">
        <v>375</v>
      </c>
      <c r="Z12" s="2">
        <v>87</v>
      </c>
      <c r="AA12" s="2">
        <v>442</v>
      </c>
      <c r="AB12" s="2">
        <v>1477</v>
      </c>
      <c r="AC12" s="2">
        <v>458</v>
      </c>
      <c r="AD12" s="2">
        <v>189</v>
      </c>
      <c r="AE12" s="2">
        <v>1850</v>
      </c>
      <c r="AF12" s="2">
        <v>472</v>
      </c>
      <c r="AG12" s="2">
        <v>588</v>
      </c>
      <c r="AH12" s="3">
        <v>5.2</v>
      </c>
      <c r="AI12" s="3">
        <v>1.2</v>
      </c>
      <c r="AJ12" s="3">
        <v>6.5</v>
      </c>
      <c r="AK12" s="3">
        <v>0.7</v>
      </c>
      <c r="AL12" s="3">
        <v>8.8000000000000007</v>
      </c>
      <c r="AM12" s="3">
        <v>0.7</v>
      </c>
      <c r="AN12" s="3">
        <v>7.5</v>
      </c>
      <c r="AO12" s="3">
        <v>1.7</v>
      </c>
      <c r="AP12" s="3">
        <v>1.4</v>
      </c>
      <c r="AQ12" s="3">
        <v>0.3</v>
      </c>
      <c r="AR12" s="3">
        <v>3.2</v>
      </c>
      <c r="AS12" s="3">
        <v>3.3</v>
      </c>
      <c r="AT12" s="3">
        <v>211.6</v>
      </c>
      <c r="AU12" s="3">
        <v>434</v>
      </c>
      <c r="AV12" s="3">
        <v>790</v>
      </c>
      <c r="AW12" s="3">
        <v>513</v>
      </c>
      <c r="AX12" s="3">
        <v>105</v>
      </c>
      <c r="AY12" s="3">
        <v>22</v>
      </c>
      <c r="AZ12" s="3">
        <v>31</v>
      </c>
      <c r="BA12" s="3">
        <v>3.6</v>
      </c>
      <c r="BB12" s="3">
        <v>1.1000000000000001</v>
      </c>
      <c r="BC12" s="3">
        <v>2.1</v>
      </c>
      <c r="BD12" s="3">
        <v>4.3</v>
      </c>
      <c r="BE12" s="3">
        <v>538</v>
      </c>
    </row>
  </sheetData>
  <sheetProtection sheet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D7BD-58AA-49DF-A9BC-702F234DBE10}">
  <sheetPr codeName="Sheet2"/>
  <dimension ref="A1:Z102"/>
  <sheetViews>
    <sheetView tabSelected="1" workbookViewId="0">
      <selection activeCell="H25" sqref="H25"/>
    </sheetView>
  </sheetViews>
  <sheetFormatPr defaultRowHeight="14.5" x14ac:dyDescent="0.35"/>
  <cols>
    <col min="1" max="1" width="10.6328125" customWidth="1"/>
    <col min="2" max="2" width="11.08984375" customWidth="1"/>
    <col min="4" max="4" width="11.1796875" bestFit="1" customWidth="1"/>
  </cols>
  <sheetData>
    <row r="1" spans="1:26" ht="28.5" x14ac:dyDescent="0.65">
      <c r="A1" s="6" t="s">
        <v>65</v>
      </c>
    </row>
    <row r="2" spans="1:26" x14ac:dyDescent="0.35">
      <c r="Y2" t="s">
        <v>56</v>
      </c>
    </row>
    <row r="3" spans="1:26" x14ac:dyDescent="0.35">
      <c r="A3" s="5" t="s">
        <v>66</v>
      </c>
      <c r="Y3" cm="1">
        <f t="array" ref="Y3:Y102">_xlfn.SEQUENCE(100)/10</f>
        <v>0.1</v>
      </c>
      <c r="Z3" cm="1">
        <f t="array" ref="Z3:Z102">Bottom+(Top-Bottom)/(1+EXP(Steppiness*(Centre-_xlfn.ANCHORARRAY(Y3))))</f>
        <v>-0.99982314438120001</v>
      </c>
    </row>
    <row r="4" spans="1:26" x14ac:dyDescent="0.35">
      <c r="A4" t="s">
        <v>60</v>
      </c>
      <c r="B4" s="4">
        <v>0</v>
      </c>
      <c r="C4" s="5" t="s">
        <v>68</v>
      </c>
      <c r="Y4">
        <v>0.2</v>
      </c>
      <c r="Z4">
        <v>-0.99979246437725766</v>
      </c>
    </row>
    <row r="5" spans="1:26" x14ac:dyDescent="0.35">
      <c r="A5" t="s">
        <v>59</v>
      </c>
      <c r="B5" s="4">
        <v>-1</v>
      </c>
      <c r="C5" s="5" t="s">
        <v>67</v>
      </c>
      <c r="Y5">
        <v>0.3</v>
      </c>
      <c r="Z5">
        <v>-0.99975646346026825</v>
      </c>
    </row>
    <row r="6" spans="1:26" x14ac:dyDescent="0.35">
      <c r="A6" t="s">
        <v>57</v>
      </c>
      <c r="B6" s="4">
        <v>1.6</v>
      </c>
      <c r="C6" s="5" t="s">
        <v>61</v>
      </c>
      <c r="Y6">
        <v>0.4</v>
      </c>
      <c r="Z6">
        <v>-0.99971421929915816</v>
      </c>
    </row>
    <row r="7" spans="1:26" x14ac:dyDescent="0.35">
      <c r="A7" t="s">
        <v>58</v>
      </c>
      <c r="B7" s="4">
        <v>5.5</v>
      </c>
      <c r="C7" s="5" t="s">
        <v>69</v>
      </c>
      <c r="Y7">
        <v>0.5</v>
      </c>
      <c r="Z7">
        <v>-0.99966464986953352</v>
      </c>
    </row>
    <row r="8" spans="1:26" x14ac:dyDescent="0.35">
      <c r="B8" s="4"/>
      <c r="C8" s="5"/>
      <c r="Y8">
        <v>0.6</v>
      </c>
      <c r="Z8">
        <v>-0.99960648587367351</v>
      </c>
    </row>
    <row r="9" spans="1:26" ht="29" x14ac:dyDescent="0.35">
      <c r="A9" s="7" t="s">
        <v>62</v>
      </c>
      <c r="B9" s="8" t="s">
        <v>64</v>
      </c>
      <c r="C9" s="7" t="s">
        <v>56</v>
      </c>
      <c r="D9" s="8" t="s">
        <v>63</v>
      </c>
      <c r="Y9">
        <v>0.7</v>
      </c>
      <c r="Z9">
        <v>-0.99953823842347589</v>
      </c>
    </row>
    <row r="10" spans="1:26" x14ac:dyDescent="0.35">
      <c r="A10" s="12" cm="1">
        <f t="array" ref="A10:A19">_xlfn.SEQUENCE(10)</f>
        <v>1</v>
      </c>
      <c r="B10" s="12">
        <v>16.3</v>
      </c>
      <c r="C10" s="12" cm="1">
        <f t="array" ref="C10:C19">Bottom+(Top-Bottom)/(1+EXP(Steppiness*(Centre-_xlfn.SEQUENCE(10))))</f>
        <v>-0.99925397116616332</v>
      </c>
      <c r="D10" s="12" cm="1">
        <f t="array" ref="D10:D19">(($C$23/$C$22)^_xlfn.ANCHORARRAY(C10))*B10:B19</f>
        <v>6.9838943936170432</v>
      </c>
      <c r="Y10">
        <v>0.8</v>
      </c>
      <c r="Z10">
        <v>-0.99945816118262276</v>
      </c>
    </row>
    <row r="11" spans="1:26" x14ac:dyDescent="0.35">
      <c r="A11" s="12">
        <v>2</v>
      </c>
      <c r="B11" s="12">
        <v>26.3</v>
      </c>
      <c r="C11" s="12">
        <v>-0.996315760100564</v>
      </c>
      <c r="D11" s="12">
        <v>11.296610142600263</v>
      </c>
      <c r="Y11">
        <v>0.9</v>
      </c>
      <c r="Z11">
        <v>-0.99936420603160481</v>
      </c>
    </row>
    <row r="12" spans="1:26" x14ac:dyDescent="0.35">
      <c r="A12" s="12">
        <v>3</v>
      </c>
      <c r="B12" s="12">
        <v>30</v>
      </c>
      <c r="C12" s="12">
        <v>-0.98201379003790845</v>
      </c>
      <c r="D12" s="12">
        <v>13.043134987499807</v>
      </c>
      <c r="Y12">
        <v>1</v>
      </c>
      <c r="Z12">
        <v>-0.99925397116616332</v>
      </c>
    </row>
    <row r="13" spans="1:26" x14ac:dyDescent="0.35">
      <c r="A13" s="12">
        <v>4</v>
      </c>
      <c r="B13" s="12">
        <v>33.5</v>
      </c>
      <c r="C13" s="12">
        <v>-0.91682730350607766</v>
      </c>
      <c r="D13" s="12">
        <v>15.392811292167481</v>
      </c>
      <c r="Y13">
        <v>1.1000000000000001</v>
      </c>
      <c r="Z13">
        <v>-0.99912464036357074</v>
      </c>
    </row>
    <row r="14" spans="1:26" x14ac:dyDescent="0.35">
      <c r="A14" s="12">
        <v>5</v>
      </c>
      <c r="B14" s="12">
        <v>33.700000000000003</v>
      </c>
      <c r="C14" s="12">
        <v>-0.6899744811276125</v>
      </c>
      <c r="D14" s="12">
        <v>18.770144783654075</v>
      </c>
      <c r="Y14">
        <v>1.2</v>
      </c>
      <c r="Z14">
        <v>-0.9989729119492885</v>
      </c>
    </row>
    <row r="15" spans="1:26" x14ac:dyDescent="0.35">
      <c r="A15" s="12">
        <v>6</v>
      </c>
      <c r="B15" s="12">
        <v>35.299999999999997</v>
      </c>
      <c r="C15" s="12">
        <v>-0.3100255188723875</v>
      </c>
      <c r="D15" s="12">
        <v>27.137649698941871</v>
      </c>
      <c r="Y15">
        <v>1.3</v>
      </c>
      <c r="Z15">
        <v>-0.99879491576622104</v>
      </c>
    </row>
    <row r="16" spans="1:26" x14ac:dyDescent="0.35">
      <c r="A16" s="12">
        <v>7</v>
      </c>
      <c r="B16" s="12">
        <v>35.6</v>
      </c>
      <c r="C16" s="12">
        <v>-8.3172696493922338E-2</v>
      </c>
      <c r="D16" s="12">
        <v>33.175089890637963</v>
      </c>
      <c r="Y16">
        <v>1.4</v>
      </c>
      <c r="Z16">
        <v>-0.99858611618753934</v>
      </c>
    </row>
    <row r="17" spans="1:26" x14ac:dyDescent="0.35">
      <c r="A17" s="12">
        <v>8</v>
      </c>
      <c r="B17" s="12">
        <v>35.5</v>
      </c>
      <c r="C17" s="12">
        <v>-1.7986209962091548E-2</v>
      </c>
      <c r="D17" s="12">
        <v>34.962531228519687</v>
      </c>
      <c r="Y17">
        <v>1.5</v>
      </c>
      <c r="Z17">
        <v>-0.99834119891982553</v>
      </c>
    </row>
    <row r="18" spans="1:26" x14ac:dyDescent="0.35">
      <c r="A18" s="12">
        <v>9</v>
      </c>
      <c r="B18" s="12">
        <v>36.1</v>
      </c>
      <c r="C18" s="12">
        <v>-3.6842398994358927E-3</v>
      </c>
      <c r="D18" s="12">
        <v>35.987365752191913</v>
      </c>
      <c r="Y18">
        <v>1.6</v>
      </c>
      <c r="Z18">
        <v>-0.99805393901491446</v>
      </c>
    </row>
    <row r="19" spans="1:26" x14ac:dyDescent="0.35">
      <c r="A19" s="12">
        <v>10</v>
      </c>
      <c r="B19" s="12">
        <v>32.299999999999997</v>
      </c>
      <c r="C19" s="12">
        <v>-7.4602883383667606E-4</v>
      </c>
      <c r="D19" s="12">
        <v>32.279567830045963</v>
      </c>
      <c r="Y19">
        <v>1.7</v>
      </c>
      <c r="Z19">
        <v>-0.99771704714649689</v>
      </c>
    </row>
    <row r="20" spans="1:26" x14ac:dyDescent="0.35">
      <c r="A20" s="11" t="s">
        <v>74</v>
      </c>
      <c r="B20" s="13">
        <f>SUM(B10:B19)</f>
        <v>314.60000000000002</v>
      </c>
      <c r="C20" s="13"/>
      <c r="D20" s="13">
        <f>SUM(_xlfn.ANCHORARRAY(D10))</f>
        <v>229.02879999987607</v>
      </c>
      <c r="Y20">
        <v>1.8</v>
      </c>
      <c r="Z20">
        <v>-0.99732199081378692</v>
      </c>
    </row>
    <row r="21" spans="1:26" x14ac:dyDescent="0.35">
      <c r="D21" s="5"/>
      <c r="Y21">
        <v>1.9</v>
      </c>
      <c r="Z21">
        <v>-0.99685878671517059</v>
      </c>
    </row>
    <row r="22" spans="1:26" x14ac:dyDescent="0.35">
      <c r="B22" s="10" t="s">
        <v>70</v>
      </c>
      <c r="C22" s="4">
        <v>100</v>
      </c>
      <c r="Y22">
        <v>2</v>
      </c>
      <c r="Z22">
        <v>-0.996315760100564</v>
      </c>
    </row>
    <row r="23" spans="1:26" x14ac:dyDescent="0.35">
      <c r="B23" s="10" t="s">
        <v>71</v>
      </c>
      <c r="C23" s="4">
        <v>233.54186902815186</v>
      </c>
      <c r="Y23">
        <v>2.1</v>
      </c>
      <c r="Z23">
        <v>-0.99567926648008809</v>
      </c>
    </row>
    <row r="24" spans="1:26" x14ac:dyDescent="0.35">
      <c r="B24" s="10" t="s">
        <v>72</v>
      </c>
      <c r="C24">
        <f>Total_Consumption_Post_Ban/Total_Consumption_Pre_Ban</f>
        <v>0.72799999999960607</v>
      </c>
      <c r="Y24">
        <v>2.2000000000000002</v>
      </c>
      <c r="Z24">
        <v>-0.99493337066653376</v>
      </c>
    </row>
    <row r="25" spans="1:26" x14ac:dyDescent="0.35">
      <c r="B25" s="10" t="s">
        <v>73</v>
      </c>
      <c r="C25" s="4">
        <v>0.72799999999999998</v>
      </c>
      <c r="Y25">
        <v>2.2999999999999998</v>
      </c>
      <c r="Z25">
        <v>-0.9940594778016596</v>
      </c>
    </row>
    <row r="26" spans="1:26" x14ac:dyDescent="0.35">
      <c r="C26" s="14">
        <f>(Consumption_Ratio-Target_Consumption_Ratio)*10000000</f>
        <v>-3.9390712913700554E-6</v>
      </c>
      <c r="Y26">
        <v>2.4</v>
      </c>
      <c r="Z26">
        <v>-0.99303591082223797</v>
      </c>
    </row>
    <row r="27" spans="1:26" x14ac:dyDescent="0.35">
      <c r="D27" s="9" t="s">
        <v>75</v>
      </c>
      <c r="Y27">
        <v>2.5</v>
      </c>
      <c r="Z27">
        <v>-0.99183742884684012</v>
      </c>
    </row>
    <row r="28" spans="1:26" x14ac:dyDescent="0.35">
      <c r="Y28">
        <v>2.6</v>
      </c>
      <c r="Z28">
        <v>-0.99043468132790835</v>
      </c>
    </row>
    <row r="29" spans="1:26" x14ac:dyDescent="0.35">
      <c r="C29" s="4"/>
      <c r="Y29">
        <v>2.7</v>
      </c>
      <c r="Z29">
        <v>-0.98879359367815711</v>
      </c>
    </row>
    <row r="30" spans="1:26" x14ac:dyDescent="0.35">
      <c r="C30" s="4"/>
      <c r="Y30">
        <v>2.8</v>
      </c>
      <c r="Z30">
        <v>-0.98687468166289716</v>
      </c>
    </row>
    <row r="31" spans="1:26" x14ac:dyDescent="0.35">
      <c r="Y31">
        <v>2.9</v>
      </c>
      <c r="Z31">
        <v>-0.98463229443472444</v>
      </c>
    </row>
    <row r="32" spans="1:26" x14ac:dyDescent="0.35">
      <c r="Y32">
        <v>3</v>
      </c>
      <c r="Z32">
        <v>-0.98201379003790845</v>
      </c>
    </row>
    <row r="33" spans="25:26" x14ac:dyDescent="0.35">
      <c r="Y33">
        <v>3.1</v>
      </c>
      <c r="Z33">
        <v>-0.97895865297953177</v>
      </c>
    </row>
    <row r="34" spans="25:26" x14ac:dyDescent="0.35">
      <c r="Y34">
        <v>3.2</v>
      </c>
      <c r="Z34">
        <v>-0.97539757159726059</v>
      </c>
    </row>
    <row r="35" spans="25:26" x14ac:dyDescent="0.35">
      <c r="Y35">
        <v>3.3</v>
      </c>
      <c r="Z35">
        <v>-0.97125150407346006</v>
      </c>
    </row>
    <row r="36" spans="25:26" x14ac:dyDescent="0.35">
      <c r="Y36">
        <v>3.4</v>
      </c>
      <c r="Z36">
        <v>-0.96643077671851751</v>
      </c>
    </row>
    <row r="37" spans="25:26" x14ac:dyDescent="0.35">
      <c r="Y37">
        <v>3.5</v>
      </c>
      <c r="Z37">
        <v>-0.96083427720323566</v>
      </c>
    </row>
    <row r="38" spans="25:26" x14ac:dyDescent="0.35">
      <c r="Y38">
        <v>3.6</v>
      </c>
      <c r="Z38">
        <v>-0.9543488292155563</v>
      </c>
    </row>
    <row r="39" spans="25:26" x14ac:dyDescent="0.35">
      <c r="Y39">
        <v>3.7</v>
      </c>
      <c r="Z39">
        <v>-0.94684886360193632</v>
      </c>
    </row>
    <row r="40" spans="25:26" x14ac:dyDescent="0.35">
      <c r="Y40">
        <v>3.8</v>
      </c>
      <c r="Z40">
        <v>-0.93819653373641143</v>
      </c>
    </row>
    <row r="41" spans="25:26" x14ac:dyDescent="0.35">
      <c r="Y41">
        <v>3.9</v>
      </c>
      <c r="Z41">
        <v>-0.92824245773624869</v>
      </c>
    </row>
    <row r="42" spans="25:26" x14ac:dyDescent="0.35">
      <c r="Y42">
        <v>4</v>
      </c>
      <c r="Z42">
        <v>-0.91682730350607766</v>
      </c>
    </row>
    <row r="43" spans="25:26" x14ac:dyDescent="0.35">
      <c r="Y43">
        <v>4.0999999999999996</v>
      </c>
      <c r="Z43">
        <v>-0.9037844582893072</v>
      </c>
    </row>
    <row r="44" spans="25:26" x14ac:dyDescent="0.35">
      <c r="Y44">
        <v>4.2</v>
      </c>
      <c r="Z44">
        <v>-0.88894403328859239</v>
      </c>
    </row>
    <row r="45" spans="25:26" x14ac:dyDescent="0.35">
      <c r="Y45">
        <v>4.3</v>
      </c>
      <c r="Z45">
        <v>-0.8721384336809187</v>
      </c>
    </row>
    <row r="46" spans="25:26" x14ac:dyDescent="0.35">
      <c r="Y46">
        <v>4.4000000000000004</v>
      </c>
      <c r="Z46">
        <v>-0.85320966019861755</v>
      </c>
    </row>
    <row r="47" spans="25:26" x14ac:dyDescent="0.35">
      <c r="Y47">
        <v>4.5</v>
      </c>
      <c r="Z47">
        <v>-0.83201838513392445</v>
      </c>
    </row>
    <row r="48" spans="25:26" x14ac:dyDescent="0.35">
      <c r="Y48">
        <v>4.5999999999999996</v>
      </c>
      <c r="Z48">
        <v>-0.80845465143853268</v>
      </c>
    </row>
    <row r="49" spans="25:26" x14ac:dyDescent="0.35">
      <c r="Y49">
        <v>4.7</v>
      </c>
      <c r="Z49">
        <v>-0.78244977642311242</v>
      </c>
    </row>
    <row r="50" spans="25:26" x14ac:dyDescent="0.35">
      <c r="Y50">
        <v>4.8</v>
      </c>
      <c r="Z50">
        <v>-0.75398871644894805</v>
      </c>
    </row>
    <row r="51" spans="25:26" x14ac:dyDescent="0.35">
      <c r="Y51">
        <v>4.9000000000000004</v>
      </c>
      <c r="Z51">
        <v>-0.72312180512438973</v>
      </c>
    </row>
    <row r="52" spans="25:26" x14ac:dyDescent="0.35">
      <c r="Y52">
        <v>5</v>
      </c>
      <c r="Z52">
        <v>-0.6899744811276125</v>
      </c>
    </row>
    <row r="53" spans="25:26" x14ac:dyDescent="0.35">
      <c r="Y53">
        <v>5.0999999999999996</v>
      </c>
      <c r="Z53">
        <v>-0.65475346060631934</v>
      </c>
    </row>
    <row r="54" spans="25:26" x14ac:dyDescent="0.35">
      <c r="Y54">
        <v>5.2</v>
      </c>
      <c r="Z54">
        <v>-0.61774787476924886</v>
      </c>
    </row>
    <row r="55" spans="25:26" x14ac:dyDescent="0.35">
      <c r="Y55">
        <v>5.3</v>
      </c>
      <c r="Z55">
        <v>-0.5793242521487495</v>
      </c>
    </row>
    <row r="56" spans="25:26" x14ac:dyDescent="0.35">
      <c r="Y56">
        <v>5.4</v>
      </c>
      <c r="Z56">
        <v>-0.53991488455556558</v>
      </c>
    </row>
    <row r="57" spans="25:26" x14ac:dyDescent="0.35">
      <c r="Y57">
        <v>5.5</v>
      </c>
      <c r="Z57">
        <v>-0.5</v>
      </c>
    </row>
    <row r="58" spans="25:26" x14ac:dyDescent="0.35">
      <c r="Y58">
        <v>5.6</v>
      </c>
      <c r="Z58">
        <v>-0.46008511544443442</v>
      </c>
    </row>
    <row r="59" spans="25:26" x14ac:dyDescent="0.35">
      <c r="Y59">
        <v>5.7</v>
      </c>
      <c r="Z59">
        <v>-0.4206757478512505</v>
      </c>
    </row>
    <row r="60" spans="25:26" x14ac:dyDescent="0.35">
      <c r="Y60">
        <v>5.8</v>
      </c>
      <c r="Z60">
        <v>-0.38225212523075103</v>
      </c>
    </row>
    <row r="61" spans="25:26" x14ac:dyDescent="0.35">
      <c r="Y61">
        <v>5.9</v>
      </c>
      <c r="Z61">
        <v>-0.34524653939368066</v>
      </c>
    </row>
    <row r="62" spans="25:26" x14ac:dyDescent="0.35">
      <c r="Y62">
        <v>6</v>
      </c>
      <c r="Z62">
        <v>-0.3100255188723875</v>
      </c>
    </row>
    <row r="63" spans="25:26" x14ac:dyDescent="0.35">
      <c r="Y63">
        <v>6.1</v>
      </c>
      <c r="Z63">
        <v>-0.27687819487561027</v>
      </c>
    </row>
    <row r="64" spans="25:26" x14ac:dyDescent="0.35">
      <c r="Y64">
        <v>6.2</v>
      </c>
      <c r="Z64">
        <v>-0.24601128355105184</v>
      </c>
    </row>
    <row r="65" spans="25:26" x14ac:dyDescent="0.35">
      <c r="Y65">
        <v>6.3</v>
      </c>
      <c r="Z65">
        <v>-0.21755022357688758</v>
      </c>
    </row>
    <row r="66" spans="25:26" x14ac:dyDescent="0.35">
      <c r="Y66">
        <v>6.4</v>
      </c>
      <c r="Z66">
        <v>-0.19154534856146743</v>
      </c>
    </row>
    <row r="67" spans="25:26" x14ac:dyDescent="0.35">
      <c r="Y67">
        <v>6.5</v>
      </c>
      <c r="Z67">
        <v>-0.16798161486607555</v>
      </c>
    </row>
    <row r="68" spans="25:26" x14ac:dyDescent="0.35">
      <c r="Y68">
        <v>6.6</v>
      </c>
      <c r="Z68">
        <v>-0.14679033980138234</v>
      </c>
    </row>
    <row r="69" spans="25:26" x14ac:dyDescent="0.35">
      <c r="Y69">
        <v>6.7</v>
      </c>
      <c r="Z69">
        <v>-0.1278615663190813</v>
      </c>
    </row>
    <row r="70" spans="25:26" x14ac:dyDescent="0.35">
      <c r="Y70">
        <v>6.8</v>
      </c>
      <c r="Z70">
        <v>-0.11105596671140761</v>
      </c>
    </row>
    <row r="71" spans="25:26" x14ac:dyDescent="0.35">
      <c r="Y71">
        <v>6.9</v>
      </c>
      <c r="Z71">
        <v>-9.6215541710692798E-2</v>
      </c>
    </row>
    <row r="72" spans="25:26" x14ac:dyDescent="0.35">
      <c r="Y72">
        <v>7</v>
      </c>
      <c r="Z72">
        <v>-8.3172696493922338E-2</v>
      </c>
    </row>
    <row r="73" spans="25:26" x14ac:dyDescent="0.35">
      <c r="Y73">
        <v>7.1</v>
      </c>
      <c r="Z73">
        <v>-7.1757542263751417E-2</v>
      </c>
    </row>
    <row r="74" spans="25:26" x14ac:dyDescent="0.35">
      <c r="Y74">
        <v>7.2</v>
      </c>
      <c r="Z74">
        <v>-6.1803466263588569E-2</v>
      </c>
    </row>
    <row r="75" spans="25:26" x14ac:dyDescent="0.35">
      <c r="Y75">
        <v>7.3</v>
      </c>
      <c r="Z75">
        <v>-5.3151136398063792E-2</v>
      </c>
    </row>
    <row r="76" spans="25:26" x14ac:dyDescent="0.35">
      <c r="Y76">
        <v>7.4</v>
      </c>
      <c r="Z76">
        <v>-4.5651170784443584E-2</v>
      </c>
    </row>
    <row r="77" spans="25:26" x14ac:dyDescent="0.35">
      <c r="Y77">
        <v>7.5</v>
      </c>
      <c r="Z77">
        <v>-3.9165722796764335E-2</v>
      </c>
    </row>
    <row r="78" spans="25:26" x14ac:dyDescent="0.35">
      <c r="Y78">
        <v>7.6</v>
      </c>
      <c r="Z78">
        <v>-3.3569223281482485E-2</v>
      </c>
    </row>
    <row r="79" spans="25:26" x14ac:dyDescent="0.35">
      <c r="Y79">
        <v>7.7</v>
      </c>
      <c r="Z79">
        <v>-2.8748495926540052E-2</v>
      </c>
    </row>
    <row r="80" spans="25:26" x14ac:dyDescent="0.35">
      <c r="Y80">
        <v>7.8</v>
      </c>
      <c r="Z80">
        <v>-2.4602428402739518E-2</v>
      </c>
    </row>
    <row r="81" spans="25:26" x14ac:dyDescent="0.35">
      <c r="Y81">
        <v>7.9</v>
      </c>
      <c r="Z81">
        <v>-2.1041347020468337E-2</v>
      </c>
    </row>
    <row r="82" spans="25:26" x14ac:dyDescent="0.35">
      <c r="Y82">
        <v>8</v>
      </c>
      <c r="Z82">
        <v>-1.7986209962091548E-2</v>
      </c>
    </row>
    <row r="83" spans="25:26" x14ac:dyDescent="0.35">
      <c r="Y83">
        <v>8.1</v>
      </c>
      <c r="Z83">
        <v>-1.5367705565275558E-2</v>
      </c>
    </row>
    <row r="84" spans="25:26" x14ac:dyDescent="0.35">
      <c r="Y84">
        <v>8.1999999999999993</v>
      </c>
      <c r="Z84">
        <v>-1.3125318337102843E-2</v>
      </c>
    </row>
    <row r="85" spans="25:26" x14ac:dyDescent="0.35">
      <c r="Y85">
        <v>8.3000000000000007</v>
      </c>
      <c r="Z85">
        <v>-1.1206406321842888E-2</v>
      </c>
    </row>
    <row r="86" spans="25:26" x14ac:dyDescent="0.35">
      <c r="Y86">
        <v>8.4</v>
      </c>
      <c r="Z86">
        <v>-9.5653186720916494E-3</v>
      </c>
    </row>
    <row r="87" spans="25:26" x14ac:dyDescent="0.35">
      <c r="Y87">
        <v>8.5</v>
      </c>
      <c r="Z87">
        <v>-8.162571153159881E-3</v>
      </c>
    </row>
    <row r="88" spans="25:26" x14ac:dyDescent="0.35">
      <c r="Y88">
        <v>8.6</v>
      </c>
      <c r="Z88">
        <v>-6.964089177762145E-3</v>
      </c>
    </row>
    <row r="89" spans="25:26" x14ac:dyDescent="0.35">
      <c r="Y89">
        <v>8.6999999999999993</v>
      </c>
      <c r="Z89">
        <v>-5.9405221983402923E-3</v>
      </c>
    </row>
    <row r="90" spans="25:26" x14ac:dyDescent="0.35">
      <c r="Y90">
        <v>8.8000000000000007</v>
      </c>
      <c r="Z90">
        <v>-5.0666293334662438E-3</v>
      </c>
    </row>
    <row r="91" spans="25:26" x14ac:dyDescent="0.35">
      <c r="Y91">
        <v>8.9</v>
      </c>
      <c r="Z91">
        <v>-4.3207335199119123E-3</v>
      </c>
    </row>
    <row r="92" spans="25:26" x14ac:dyDescent="0.35">
      <c r="Y92">
        <v>9</v>
      </c>
      <c r="Z92">
        <v>-3.6842398994358927E-3</v>
      </c>
    </row>
    <row r="93" spans="25:26" x14ac:dyDescent="0.35">
      <c r="Y93">
        <v>9.1</v>
      </c>
      <c r="Z93">
        <v>-3.1412132848294139E-3</v>
      </c>
    </row>
    <row r="94" spans="25:26" x14ac:dyDescent="0.35">
      <c r="Y94">
        <v>9.1999999999999993</v>
      </c>
      <c r="Z94">
        <v>-2.6780091862129707E-3</v>
      </c>
    </row>
    <row r="95" spans="25:26" x14ac:dyDescent="0.35">
      <c r="Y95">
        <v>9.3000000000000007</v>
      </c>
      <c r="Z95">
        <v>-2.2829528535029953E-3</v>
      </c>
    </row>
    <row r="96" spans="25:26" x14ac:dyDescent="0.35">
      <c r="Y96">
        <v>9.4</v>
      </c>
      <c r="Z96">
        <v>-1.9460609850856514E-3</v>
      </c>
    </row>
    <row r="97" spans="25:26" x14ac:dyDescent="0.35">
      <c r="Y97">
        <v>9.5</v>
      </c>
      <c r="Z97">
        <v>-1.6588010801744657E-3</v>
      </c>
    </row>
    <row r="98" spans="25:26" x14ac:dyDescent="0.35">
      <c r="Y98">
        <v>9.6</v>
      </c>
      <c r="Z98">
        <v>-1.413883812460659E-3</v>
      </c>
    </row>
    <row r="99" spans="25:26" x14ac:dyDescent="0.35">
      <c r="Y99">
        <v>9.6999999999999993</v>
      </c>
      <c r="Z99">
        <v>-1.2050842337789636E-3</v>
      </c>
    </row>
    <row r="100" spans="25:26" x14ac:dyDescent="0.35">
      <c r="Y100">
        <v>9.8000000000000007</v>
      </c>
      <c r="Z100">
        <v>-1.0270880507114999E-3</v>
      </c>
    </row>
    <row r="101" spans="25:26" x14ac:dyDescent="0.35">
      <c r="Y101">
        <v>9.9</v>
      </c>
      <c r="Z101">
        <v>-8.7535963642937364E-4</v>
      </c>
    </row>
    <row r="102" spans="25:26" x14ac:dyDescent="0.35">
      <c r="Y102">
        <v>10</v>
      </c>
      <c r="Z102">
        <v>-7.4602883383667606E-4</v>
      </c>
    </row>
  </sheetData>
  <sheetProtection sheet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Solve">
                <anchor moveWithCells="1" sizeWithCells="1">
                  <from>
                    <xdr:col>1</xdr:col>
                    <xdr:colOff>12700</xdr:colOff>
                    <xdr:row>25</xdr:row>
                    <xdr:rowOff>171450</xdr:rowOff>
                  </from>
                  <to>
                    <xdr:col>2</xdr:col>
                    <xdr:colOff>488950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Data</vt:lpstr>
      <vt:lpstr>Model</vt:lpstr>
      <vt:lpstr>Model!Bottom</vt:lpstr>
      <vt:lpstr>Model!Centre</vt:lpstr>
      <vt:lpstr>Model!Consumption_Ratio</vt:lpstr>
      <vt:lpstr>Model!Price_Post_Ban</vt:lpstr>
      <vt:lpstr>Model!Price_Pre_Ban</vt:lpstr>
      <vt:lpstr>SetThisToZero</vt:lpstr>
      <vt:lpstr>Model!Steppiness</vt:lpstr>
      <vt:lpstr>Model!Target_Consumption_Ratio</vt:lpstr>
      <vt:lpstr>Model!Top</vt:lpstr>
      <vt:lpstr>Model!Total_Consumption_Post_Ban</vt:lpstr>
      <vt:lpstr>Model!Total_Consumption_Pre_Ban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Auriane Swannell</cp:lastModifiedBy>
  <dcterms:created xsi:type="dcterms:W3CDTF">2023-04-20T07:20:13Z</dcterms:created>
  <dcterms:modified xsi:type="dcterms:W3CDTF">2023-05-26T15:25:02Z</dcterms:modified>
</cp:coreProperties>
</file>